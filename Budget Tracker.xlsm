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4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Analytics - projects\"/>
    </mc:Choice>
  </mc:AlternateContent>
  <xr:revisionPtr revIDLastSave="0" documentId="13_ncr:1_{D5D08998-D192-4850-BD51-A5CE80C7B25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očetna" sheetId="6" r:id="rId1"/>
    <sheet name="Baza troškova" sheetId="1" r:id="rId2"/>
    <sheet name="Dashboard" sheetId="3" r:id="rId3"/>
    <sheet name="Kalkulator troškova" sheetId="4" state="veryHidden" r:id="rId4"/>
  </sheets>
  <definedNames>
    <definedName name="_xlchart.v1.0" hidden="1">'Kalkulator troškova'!$B$3:$B$12</definedName>
    <definedName name="_xlchart.v1.1" hidden="1">'Kalkulator troškova'!$C$3:$C$12</definedName>
    <definedName name="_xlchart.v1.2" hidden="1">'Kalkulator troškova'!$B$3:$B$12</definedName>
    <definedName name="_xlchart.v1.3" hidden="1">'Kalkulator troškova'!$C$3:$C$12</definedName>
    <definedName name="_xlchart.v1.4" hidden="1">'Kalkulator troškova'!$B$16:$B$17</definedName>
    <definedName name="_xlchart.v1.5" hidden="1">'Kalkulator troškova'!$C$16:$C$17</definedName>
    <definedName name="_xlchart.v1.6" hidden="1">'Kalkulator troškova'!$B$16:$B$18</definedName>
    <definedName name="_xlchart.v1.7" hidden="1">'Kalkulator troškova'!$C$16:$C$18</definedName>
    <definedName name="DatumTroska">OFFSET('Baza troškova'!$G$4,1,,COUNTA('Baza troškova'!$G$4:$G$99999)-1,1)</definedName>
    <definedName name="IzabranaGodina">Dashboard!$C$5</definedName>
    <definedName name="IzabraniMesec">'Kalkulator troškova'!$H$2</definedName>
    <definedName name="IznosTroska">OFFSET('Baza troškova'!$I$4,1,,COUNTA('Baza troškova'!$I$4:$I$99999)-1,1)</definedName>
    <definedName name="KategorijaTroska">OFFSET('Baza troškova'!$H$4,1,,COUNTA('Baza troškova'!$H$4:$H$99999)-1,1)</definedName>
    <definedName name="Meseci">'Kalkulator troškova'!$E$3:$E$14</definedName>
    <definedName name="Vrste_troškova">'Kalkulator troškova'!$B$3:$B$12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C18" i="4"/>
  <c r="H2" i="4" l="1"/>
  <c r="C3" i="4" l="1"/>
  <c r="C4" i="4" l="1"/>
  <c r="C11" i="4" l="1"/>
  <c r="C7" i="4"/>
  <c r="C9" i="4"/>
  <c r="C5" i="4"/>
  <c r="C12" i="4"/>
  <c r="C10" i="4"/>
  <c r="C8" i="4"/>
  <c r="C6" i="4"/>
  <c r="H6" i="4" l="1"/>
  <c r="H8" i="4" s="1"/>
  <c r="C23" i="3"/>
  <c r="D23" i="3" s="1"/>
  <c r="C25" i="3"/>
  <c r="D25" i="3" s="1"/>
  <c r="C24" i="3"/>
  <c r="D24" i="3" s="1"/>
  <c r="C20" i="3"/>
  <c r="D20" i="3" s="1"/>
  <c r="C19" i="3"/>
  <c r="D19" i="3" s="1"/>
  <c r="C26" i="3"/>
  <c r="D26" i="3" s="1"/>
  <c r="C22" i="3"/>
  <c r="D22" i="3" s="1"/>
  <c r="C18" i="3"/>
  <c r="D18" i="3" s="1"/>
  <c r="C21" i="3"/>
  <c r="D21" i="3" s="1"/>
  <c r="C13" i="4" l="1"/>
  <c r="C17" i="3"/>
  <c r="D17" i="3" s="1"/>
  <c r="C17" i="4" l="1"/>
  <c r="C14" i="4"/>
  <c r="C16" i="4" s="1"/>
  <c r="C21" i="4" l="1"/>
</calcChain>
</file>

<file path=xl/sharedStrings.xml><?xml version="1.0" encoding="utf-8"?>
<sst xmlns="http://schemas.openxmlformats.org/spreadsheetml/2006/main" count="102" uniqueCount="61">
  <si>
    <t>Datum</t>
  </si>
  <si>
    <t>Obrazovanje</t>
  </si>
  <si>
    <t>Kupovina</t>
  </si>
  <si>
    <t>Mesec</t>
  </si>
  <si>
    <t>Prvi dan u mesecu</t>
  </si>
  <si>
    <t>Poslednji dan u mesecu</t>
  </si>
  <si>
    <t>Март</t>
  </si>
  <si>
    <t>Јануар</t>
  </si>
  <si>
    <t>Фебруар</t>
  </si>
  <si>
    <t>Април</t>
  </si>
  <si>
    <t>Мај</t>
  </si>
  <si>
    <t>Јун</t>
  </si>
  <si>
    <t>Јул</t>
  </si>
  <si>
    <t>Август</t>
  </si>
  <si>
    <t>Септембар</t>
  </si>
  <si>
    <t>Октобар</t>
  </si>
  <si>
    <t>Новембар</t>
  </si>
  <si>
    <t>Децембар</t>
  </si>
  <si>
    <t>GODINA</t>
  </si>
  <si>
    <r>
      <t>Troškovi stanovanja</t>
    </r>
    <r>
      <rPr>
        <sz val="11"/>
        <color rgb="FF000000"/>
        <rFont val="Arial"/>
        <family val="2"/>
      </rPr>
      <t xml:space="preserve"> </t>
    </r>
  </si>
  <si>
    <r>
      <t>Komunalne usluge</t>
    </r>
    <r>
      <rPr>
        <sz val="11"/>
        <color rgb="FF000000"/>
        <rFont val="Arial"/>
        <family val="2"/>
      </rPr>
      <t xml:space="preserve"> </t>
    </r>
  </si>
  <si>
    <t>Telekomunikacije</t>
  </si>
  <si>
    <t>Transport</t>
  </si>
  <si>
    <t>Razonoda</t>
  </si>
  <si>
    <t>Osiguranje i porezi</t>
  </si>
  <si>
    <t>Putovanja</t>
  </si>
  <si>
    <t>Zdravlje</t>
  </si>
  <si>
    <t>Vrste troškova</t>
  </si>
  <si>
    <t>Iznos</t>
  </si>
  <si>
    <t>Preostalo</t>
  </si>
  <si>
    <r>
      <t>Troškovi stanovanja</t>
    </r>
    <r>
      <rPr>
        <sz val="12"/>
        <color theme="8" tint="-0.499984740745262"/>
        <rFont val="Arial"/>
        <family val="2"/>
      </rPr>
      <t xml:space="preserve"> </t>
    </r>
  </si>
  <si>
    <r>
      <t>Komunalne usluge</t>
    </r>
    <r>
      <rPr>
        <sz val="12"/>
        <color theme="8" tint="-0.499984740745262"/>
        <rFont val="Arial"/>
        <family val="2"/>
      </rPr>
      <t xml:space="preserve"> </t>
    </r>
  </si>
  <si>
    <t>Budžet</t>
  </si>
  <si>
    <t>Ukupno troškova</t>
  </si>
  <si>
    <t>BAZA TROŠKOVA</t>
  </si>
  <si>
    <t>Januar</t>
  </si>
  <si>
    <t>Meseci</t>
  </si>
  <si>
    <t>Februar</t>
  </si>
  <si>
    <t xml:space="preserve">Mart </t>
  </si>
  <si>
    <t>April</t>
  </si>
  <si>
    <t>Maj</t>
  </si>
  <si>
    <t>Jun</t>
  </si>
  <si>
    <t>Jul</t>
  </si>
  <si>
    <t>Avgust</t>
  </si>
  <si>
    <t>Septembar</t>
  </si>
  <si>
    <t>Oktobar</t>
  </si>
  <si>
    <t>Novembar</t>
  </si>
  <si>
    <t>Decembar</t>
  </si>
  <si>
    <t>MESEC</t>
  </si>
  <si>
    <t>IZABERI RADNI LIST</t>
  </si>
  <si>
    <t>Redni broj meseca</t>
  </si>
  <si>
    <t>UPRAVLJANJE BUDŽETOM</t>
  </si>
  <si>
    <t>VRSTE TROŠKOVA</t>
  </si>
  <si>
    <r>
      <t>Troškovi stanovanja</t>
    </r>
    <r>
      <rPr>
        <b/>
        <sz val="11"/>
        <color theme="7" tint="-0.499984740745262"/>
        <rFont val="Arial"/>
        <family val="2"/>
      </rPr>
      <t xml:space="preserve"> </t>
    </r>
  </si>
  <si>
    <r>
      <t>Komunalne usluge</t>
    </r>
    <r>
      <rPr>
        <b/>
        <sz val="11"/>
        <color theme="7" tint="-0.499984740745262"/>
        <rFont val="Arial"/>
        <family val="2"/>
      </rPr>
      <t xml:space="preserve"> </t>
    </r>
  </si>
  <si>
    <t>Ukupni troškovi (% Budžeta)</t>
  </si>
  <si>
    <t xml:space="preserve">Komunalne usluge </t>
  </si>
  <si>
    <t>Vrsta troška</t>
  </si>
  <si>
    <t xml:space="preserve">Najvise potroseno u ovom mesecu na: </t>
  </si>
  <si>
    <t xml:space="preserve">Najvise potroseno u ovom mesecu </t>
  </si>
  <si>
    <t>Iznos troškova po kategorijama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</si>
</sst>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RSD]_-;\-* #,##0.00\ [$RSD]_-;_-* &quot;-&quot;??\ [$RSD]_-;_-@_-"/>
    <numFmt numFmtId="165" formatCode="_-* #,##0\ [$RSD]_-;\-* #,##0\ [$RSD]_-;_-* &quot;-&quot;??\ [$RSD]_-;_-@_-"/>
  </numFmts>
  <fonts count="4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4"/>
      <color theme="0"/>
      <name val="Arial"/>
      <family val="2"/>
    </font>
    <font>
      <sz val="11"/>
      <name val="Arial"/>
      <family val="2"/>
    </font>
    <font>
      <sz val="11"/>
      <name val="Calibri"/>
      <family val="2"/>
      <charset val="204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1"/>
      <name val="Goudy Stout"/>
      <family val="1"/>
    </font>
    <font>
      <b/>
      <sz val="12"/>
      <color theme="7" tint="-0.249977111117893"/>
      <name val="Arial"/>
      <family val="2"/>
    </font>
    <font>
      <b/>
      <sz val="14"/>
      <color theme="4" tint="-0.249977111117893"/>
      <name val="Arial"/>
      <family val="2"/>
    </font>
    <font>
      <b/>
      <sz val="12"/>
      <color theme="4" tint="-0.499984740745262"/>
      <name val="Arial"/>
      <family val="2"/>
    </font>
    <font>
      <sz val="11"/>
      <color theme="3" tint="-0.249977111117893"/>
      <name val="Arial"/>
      <family val="2"/>
    </font>
    <font>
      <sz val="11"/>
      <color theme="3" tint="-0.249977111117893"/>
      <name val="Calibri"/>
      <family val="2"/>
      <charset val="204"/>
      <scheme val="minor"/>
    </font>
    <font>
      <b/>
      <sz val="11"/>
      <color theme="3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i/>
      <sz val="12"/>
      <color theme="4" tint="-0.499984740745262"/>
      <name val="Arial"/>
      <family val="2"/>
    </font>
    <font>
      <b/>
      <sz val="16"/>
      <color theme="7" tint="-0.499984740745262"/>
      <name val="Arial"/>
      <family val="2"/>
    </font>
    <font>
      <b/>
      <sz val="11"/>
      <color indexed="57"/>
      <name val="Arial"/>
      <family val="2"/>
    </font>
    <font>
      <sz val="14"/>
      <color theme="4" tint="-0.499984740745262"/>
      <name val="Arial"/>
      <family val="2"/>
    </font>
    <font>
      <b/>
      <sz val="18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u val="double"/>
      <sz val="11"/>
      <color rgb="FFC00000"/>
      <name val="Arial"/>
      <family val="2"/>
    </font>
    <font>
      <b/>
      <sz val="14"/>
      <color theme="8" tint="-0.499984740745262"/>
      <name val="Arial"/>
      <family val="2"/>
    </font>
    <font>
      <i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i/>
      <sz val="12"/>
      <color theme="8" tint="-0.499984740745262"/>
      <name val="Arial"/>
      <family val="2"/>
    </font>
    <font>
      <sz val="12"/>
      <color theme="8" tint="-0.499984740745262"/>
      <name val="Arial"/>
      <family val="2"/>
    </font>
    <font>
      <sz val="11"/>
      <color theme="0"/>
      <name val="Calibri"/>
      <family val="2"/>
      <charset val="204"/>
      <scheme val="minor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rial Black"/>
      <family val="2"/>
    </font>
    <font>
      <sz val="12"/>
      <color theme="5"/>
      <name val="Algerian"/>
      <family val="5"/>
    </font>
    <font>
      <b/>
      <i/>
      <sz val="11"/>
      <color theme="7" tint="-0.499984740745262"/>
      <name val="Arial"/>
      <family val="2"/>
    </font>
    <font>
      <b/>
      <sz val="11"/>
      <color theme="7" tint="-0.499984740745262"/>
      <name val="Arial"/>
      <family val="2"/>
    </font>
    <font>
      <b/>
      <sz val="11"/>
      <color theme="8" tint="-0.499984740745262"/>
      <name val="Arial"/>
      <family val="2"/>
    </font>
    <font>
      <sz val="11"/>
      <color theme="7" tint="-0.249977111117893"/>
      <name val="Arial"/>
      <family val="2"/>
    </font>
    <font>
      <i/>
      <sz val="11"/>
      <color theme="8" tint="0.79998168889431442"/>
      <name val="Arial"/>
      <family val="2"/>
    </font>
    <font>
      <sz val="14"/>
      <color theme="4"/>
      <name val="Arial Black"/>
      <family val="2"/>
    </font>
    <font>
      <sz val="18"/>
      <color theme="4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7" tint="0.59999389629810485"/>
      </patternFill>
    </fill>
    <fill>
      <patternFill patternType="solid">
        <fgColor theme="8" tint="0.39997558519241921"/>
        <bgColor theme="7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ck">
        <color theme="4" tint="0.499984740745262"/>
      </top>
      <bottom/>
      <diagonal/>
    </border>
    <border>
      <left style="thin">
        <color theme="7" tint="0.39997558519241921"/>
      </left>
      <right/>
      <top style="thick">
        <color theme="4" tint="0.499984740745262"/>
      </top>
      <bottom/>
      <diagonal/>
    </border>
    <border>
      <left/>
      <right style="thin">
        <color theme="7" tint="0.39997558519241921"/>
      </right>
      <top style="thick">
        <color theme="4" tint="0.499984740745262"/>
      </top>
      <bottom/>
      <diagonal/>
    </border>
    <border>
      <left style="thin">
        <color theme="7" tint="0.39997558519241921"/>
      </left>
      <right/>
      <top/>
      <bottom/>
      <diagonal/>
    </border>
    <border>
      <left/>
      <right style="thin">
        <color theme="7" tint="0.39997558519241921"/>
      </right>
      <top/>
      <bottom/>
      <diagonal/>
    </border>
    <border>
      <left style="double">
        <color theme="7" tint="-0.499984740745262"/>
      </left>
      <right style="double">
        <color theme="7" tint="-0.499984740745262"/>
      </right>
      <top style="double">
        <color theme="7" tint="-0.499984740745262"/>
      </top>
      <bottom style="double">
        <color theme="7" tint="-0.499984740745262"/>
      </bottom>
      <diagonal/>
    </border>
    <border>
      <left/>
      <right style="double">
        <color theme="7" tint="-0.499984740745262"/>
      </right>
      <top style="double">
        <color theme="7" tint="-0.499984740745262"/>
      </top>
      <bottom/>
      <diagonal/>
    </border>
    <border>
      <left/>
      <right style="double">
        <color theme="7" tint="-0.499984740745262"/>
      </right>
      <top/>
      <bottom/>
      <diagonal/>
    </border>
    <border>
      <left/>
      <right style="double">
        <color theme="7" tint="-0.499984740745262"/>
      </right>
      <top/>
      <bottom style="double">
        <color theme="7" tint="-0.499984740745262"/>
      </bottom>
      <diagonal/>
    </border>
    <border>
      <left style="double">
        <color theme="7" tint="-0.499984740745262"/>
      </left>
      <right style="double">
        <color theme="7" tint="-0.499984740745262"/>
      </right>
      <top style="double">
        <color theme="7" tint="-0.499984740745262"/>
      </top>
      <bottom/>
      <diagonal/>
    </border>
    <border>
      <left style="double">
        <color theme="7" tint="-0.499984740745262"/>
      </left>
      <right style="double">
        <color theme="7" tint="-0.499984740745262"/>
      </right>
      <top/>
      <bottom/>
      <diagonal/>
    </border>
    <border>
      <left style="double">
        <color theme="7" tint="-0.499984740745262"/>
      </left>
      <right style="double">
        <color theme="7" tint="-0.499984740745262"/>
      </right>
      <top/>
      <bottom style="double">
        <color theme="7" tint="-0.499984740745262"/>
      </bottom>
      <diagonal/>
    </border>
    <border>
      <left/>
      <right style="double">
        <color theme="7" tint="-0.499984740745262"/>
      </right>
      <top style="double">
        <color theme="7" tint="-0.499984740745262"/>
      </top>
      <bottom style="double">
        <color theme="7" tint="-0.499984740745262"/>
      </bottom>
      <diagonal/>
    </border>
    <border>
      <left style="double">
        <color theme="7" tint="-0.499984740745262"/>
      </left>
      <right style="double">
        <color theme="7" tint="-0.499984740745262"/>
      </right>
      <top style="thin">
        <color theme="0"/>
      </top>
      <bottom/>
      <diagonal/>
    </border>
    <border>
      <left style="double">
        <color theme="7" tint="-0.499984740745262"/>
      </left>
      <right style="double">
        <color theme="7" tint="-0.499984740745262"/>
      </right>
      <top style="thin">
        <color theme="0"/>
      </top>
      <bottom style="double">
        <color theme="7" tint="-0.499984740745262"/>
      </bottom>
      <diagonal/>
    </border>
    <border>
      <left/>
      <right style="double">
        <color theme="7" tint="-0.499984740745262"/>
      </right>
      <top style="thin">
        <color theme="0"/>
      </top>
      <bottom/>
      <diagonal/>
    </border>
    <border>
      <left/>
      <right style="double">
        <color theme="7" tint="-0.499984740745262"/>
      </right>
      <top style="thin">
        <color theme="0"/>
      </top>
      <bottom style="double">
        <color theme="7" tint="-0.499984740745262"/>
      </bottom>
      <diagonal/>
    </border>
    <border>
      <left/>
      <right/>
      <top/>
      <bottom style="thin">
        <color theme="4" tint="-0.249977111117893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4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14" fontId="7" fillId="0" borderId="0" xfId="0" applyNumberFormat="1" applyFont="1" applyFill="1" applyBorder="1" applyAlignment="1">
      <alignment horizontal="center" vertical="center" wrapText="1"/>
    </xf>
    <xf numFmtId="164" fontId="7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4" fontId="7" fillId="0" borderId="0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164" fontId="14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4" fontId="12" fillId="0" borderId="0" xfId="0" applyNumberFormat="1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  <xf numFmtId="164" fontId="20" fillId="0" borderId="0" xfId="0" applyNumberFormat="1" applyFont="1" applyBorder="1" applyAlignment="1">
      <alignment horizontal="center"/>
    </xf>
    <xf numFmtId="165" fontId="20" fillId="0" borderId="0" xfId="0" applyNumberFormat="1" applyFont="1" applyBorder="1" applyAlignment="1">
      <alignment horizontal="center"/>
    </xf>
    <xf numFmtId="165" fontId="14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9" fillId="0" borderId="3" xfId="0" applyFont="1" applyFill="1" applyBorder="1"/>
    <xf numFmtId="165" fontId="30" fillId="0" borderId="0" xfId="0" applyNumberFormat="1" applyFont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14" fontId="20" fillId="7" borderId="6" xfId="0" applyNumberFormat="1" applyFont="1" applyFill="1" applyBorder="1" applyAlignment="1">
      <alignment horizontal="center"/>
    </xf>
    <xf numFmtId="0" fontId="20" fillId="7" borderId="5" xfId="0" applyFont="1" applyFill="1" applyBorder="1" applyAlignment="1">
      <alignment horizontal="center"/>
    </xf>
    <xf numFmtId="165" fontId="20" fillId="7" borderId="7" xfId="0" applyNumberFormat="1" applyFont="1" applyFill="1" applyBorder="1" applyAlignment="1">
      <alignment horizontal="center"/>
    </xf>
    <xf numFmtId="0" fontId="3" fillId="6" borderId="8" xfId="2" applyFont="1" applyFill="1" applyBorder="1" applyAlignment="1">
      <alignment horizontal="center" vertical="center"/>
    </xf>
    <xf numFmtId="0" fontId="3" fillId="6" borderId="0" xfId="2" applyFont="1" applyFill="1" applyBorder="1" applyAlignment="1">
      <alignment horizontal="center" vertical="center"/>
    </xf>
    <xf numFmtId="0" fontId="3" fillId="6" borderId="9" xfId="2" applyFont="1" applyFill="1" applyBorder="1" applyAlignment="1">
      <alignment horizontal="center" vertical="center"/>
    </xf>
    <xf numFmtId="165" fontId="28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center" vertical="center"/>
    </xf>
    <xf numFmtId="14" fontId="32" fillId="5" borderId="0" xfId="0" applyNumberFormat="1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right" vertical="center" wrapText="1"/>
    </xf>
    <xf numFmtId="0" fontId="34" fillId="5" borderId="0" xfId="0" applyFont="1" applyFill="1" applyBorder="1" applyAlignment="1">
      <alignment horizontal="center" vertical="center"/>
    </xf>
    <xf numFmtId="14" fontId="34" fillId="5" borderId="0" xfId="0" applyNumberFormat="1" applyFont="1" applyFill="1" applyBorder="1" applyAlignment="1">
      <alignment horizontal="center" vertical="center"/>
    </xf>
    <xf numFmtId="0" fontId="20" fillId="11" borderId="0" xfId="0" applyFont="1" applyFill="1" applyBorder="1" applyAlignment="1">
      <alignment horizontal="center"/>
    </xf>
    <xf numFmtId="0" fontId="0" fillId="11" borderId="0" xfId="0" applyFill="1"/>
    <xf numFmtId="0" fontId="35" fillId="10" borderId="0" xfId="0" applyFont="1" applyFill="1" applyAlignment="1">
      <alignment vertical="center"/>
    </xf>
    <xf numFmtId="165" fontId="22" fillId="0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center"/>
    </xf>
    <xf numFmtId="14" fontId="20" fillId="0" borderId="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165" fontId="20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31" fillId="0" borderId="0" xfId="0" applyFont="1" applyFill="1" applyBorder="1"/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165" fontId="22" fillId="12" borderId="11" xfId="0" applyNumberFormat="1" applyFont="1" applyFill="1" applyBorder="1" applyAlignment="1">
      <alignment horizontal="center" vertical="center"/>
    </xf>
    <xf numFmtId="165" fontId="22" fillId="12" borderId="12" xfId="0" applyNumberFormat="1" applyFont="1" applyFill="1" applyBorder="1" applyAlignment="1">
      <alignment horizontal="center" vertical="center"/>
    </xf>
    <xf numFmtId="165" fontId="22" fillId="12" borderId="13" xfId="0" applyNumberFormat="1" applyFont="1" applyFill="1" applyBorder="1" applyAlignment="1">
      <alignment horizontal="center" vertical="center"/>
    </xf>
    <xf numFmtId="0" fontId="28" fillId="13" borderId="14" xfId="0" applyFont="1" applyFill="1" applyBorder="1" applyAlignment="1">
      <alignment horizontal="center" vertical="center"/>
    </xf>
    <xf numFmtId="0" fontId="28" fillId="14" borderId="15" xfId="0" applyFont="1" applyFill="1" applyBorder="1" applyAlignment="1">
      <alignment horizontal="center" vertical="center"/>
    </xf>
    <xf numFmtId="0" fontId="28" fillId="13" borderId="16" xfId="0" applyFont="1" applyFill="1" applyBorder="1" applyAlignment="1">
      <alignment horizontal="center" vertical="center"/>
    </xf>
    <xf numFmtId="9" fontId="22" fillId="12" borderId="17" xfId="3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2" fillId="7" borderId="18" xfId="0" applyFont="1" applyFill="1" applyBorder="1" applyAlignment="1">
      <alignment horizontal="center" vertical="center"/>
    </xf>
    <xf numFmtId="0" fontId="22" fillId="9" borderId="18" xfId="0" applyFont="1" applyFill="1" applyBorder="1" applyAlignment="1">
      <alignment horizontal="center" vertical="center"/>
    </xf>
    <xf numFmtId="0" fontId="22" fillId="7" borderId="19" xfId="0" applyFont="1" applyFill="1" applyBorder="1" applyAlignment="1">
      <alignment horizontal="center" vertical="center"/>
    </xf>
    <xf numFmtId="0" fontId="22" fillId="9" borderId="15" xfId="0" applyFont="1" applyFill="1" applyBorder="1" applyAlignment="1">
      <alignment horizontal="center" vertical="center"/>
    </xf>
    <xf numFmtId="0" fontId="33" fillId="6" borderId="10" xfId="0" applyFont="1" applyFill="1" applyBorder="1" applyAlignment="1">
      <alignment horizontal="center" vertical="center"/>
    </xf>
    <xf numFmtId="0" fontId="33" fillId="8" borderId="10" xfId="0" applyFont="1" applyFill="1" applyBorder="1" applyAlignment="1">
      <alignment horizontal="center" vertical="center"/>
    </xf>
    <xf numFmtId="165" fontId="14" fillId="9" borderId="11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0" fontId="26" fillId="9" borderId="14" xfId="0" applyFont="1" applyFill="1" applyBorder="1"/>
    <xf numFmtId="0" fontId="26" fillId="7" borderId="18" xfId="0" applyFont="1" applyFill="1" applyBorder="1"/>
    <xf numFmtId="0" fontId="26" fillId="9" borderId="18" xfId="0" applyFont="1" applyFill="1" applyBorder="1"/>
    <xf numFmtId="0" fontId="28" fillId="14" borderId="14" xfId="0" applyFont="1" applyFill="1" applyBorder="1" applyAlignment="1">
      <alignment horizontal="left" vertical="center"/>
    </xf>
    <xf numFmtId="165" fontId="28" fillId="14" borderId="11" xfId="0" applyNumberFormat="1" applyFont="1" applyFill="1" applyBorder="1" applyAlignment="1">
      <alignment horizontal="center" vertical="center"/>
    </xf>
    <xf numFmtId="0" fontId="28" fillId="15" borderId="19" xfId="0" applyFont="1" applyFill="1" applyBorder="1" applyAlignment="1">
      <alignment horizontal="left" vertical="center"/>
    </xf>
    <xf numFmtId="165" fontId="28" fillId="15" borderId="21" xfId="0" applyNumberFormat="1" applyFont="1" applyFill="1" applyBorder="1" applyAlignment="1">
      <alignment horizontal="center" vertical="center"/>
    </xf>
    <xf numFmtId="14" fontId="34" fillId="5" borderId="0" xfId="0" applyNumberFormat="1" applyFont="1" applyFill="1" applyBorder="1" applyAlignment="1">
      <alignment horizontal="right" vertical="center" wrapText="1"/>
    </xf>
    <xf numFmtId="164" fontId="18" fillId="4" borderId="2" xfId="0" applyNumberFormat="1" applyFont="1" applyFill="1" applyBorder="1" applyAlignment="1">
      <alignment vertical="center"/>
    </xf>
    <xf numFmtId="0" fontId="39" fillId="0" borderId="0" xfId="0" applyFont="1" applyAlignment="1">
      <alignment horizontal="center" vertical="center"/>
    </xf>
    <xf numFmtId="0" fontId="38" fillId="13" borderId="10" xfId="0" applyFont="1" applyFill="1" applyBorder="1" applyAlignment="1">
      <alignment horizontal="center" vertical="center"/>
    </xf>
    <xf numFmtId="165" fontId="28" fillId="16" borderId="17" xfId="0" applyNumberFormat="1" applyFont="1" applyFill="1" applyBorder="1" applyAlignment="1">
      <alignment horizontal="center" vertical="center"/>
    </xf>
    <xf numFmtId="0" fontId="40" fillId="3" borderId="10" xfId="0" applyFont="1" applyFill="1" applyBorder="1" applyAlignment="1">
      <alignment horizontal="center" vertical="center"/>
    </xf>
    <xf numFmtId="0" fontId="28" fillId="16" borderId="17" xfId="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0" fontId="0" fillId="0" borderId="0" xfId="0" applyBorder="1"/>
    <xf numFmtId="0" fontId="28" fillId="17" borderId="17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4" fontId="28" fillId="13" borderId="17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164" fontId="28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41" fillId="0" borderId="22" xfId="0" applyFont="1" applyBorder="1" applyAlignment="1">
      <alignment vertical="center"/>
    </xf>
    <xf numFmtId="165" fontId="33" fillId="6" borderId="17" xfId="0" applyNumberFormat="1" applyFont="1" applyFill="1" applyBorder="1" applyAlignment="1">
      <alignment horizontal="center" vertical="center"/>
    </xf>
    <xf numFmtId="0" fontId="42" fillId="0" borderId="0" xfId="0" applyFont="1" applyBorder="1" applyAlignment="1">
      <alignment horizontal="left" vertical="center"/>
    </xf>
    <xf numFmtId="0" fontId="42" fillId="0" borderId="22" xfId="0" applyFont="1" applyBorder="1" applyAlignment="1">
      <alignment horizontal="left" vertical="center"/>
    </xf>
    <xf numFmtId="0" fontId="21" fillId="3" borderId="0" xfId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left" vertical="center"/>
    </xf>
  </cellXfs>
  <cellStyles count="4">
    <cellStyle name="20% - Accent1" xfId="2" builtinId="30"/>
    <cellStyle name="Heading 2" xfId="1" builtinId="17"/>
    <cellStyle name="Normal" xfId="0" builtinId="0"/>
    <cellStyle name="Percent" xfId="3" builtinId="5"/>
  </cellStyles>
  <dxfs count="10">
    <dxf>
      <fill>
        <gradientFill type="path" left="0.5" right="0.5" top="0.5" bottom="0.5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type="path" left="0.5" right="0.5" top="0.5" bottom="0.5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</dxf>
    <dxf>
      <numFmt numFmtId="19" formatCode="dd/mm/yyyy"/>
    </dxf>
    <dxf>
      <border outline="0">
        <top style="thick">
          <color theme="4" tint="0.499984740745262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76004F"/>
      <color rgb="FFFEECDE"/>
      <color rgb="FF874EA9"/>
      <color rgb="FF000000"/>
      <color rgb="FFA4006D"/>
      <color rgb="FF820057"/>
      <color rgb="FFFFBDD1"/>
      <color rgb="FFFF81A8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7361730386111375E-3"/>
          <c:y val="9.830512672846731E-3"/>
          <c:w val="0.99426382696138882"/>
          <c:h val="0.82671592759788715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'Kalkulator troškova'!$B$13</c:f>
              <c:strCache>
                <c:ptCount val="1"/>
                <c:pt idx="0">
                  <c:v>Ukupno troškova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3.7309517939521289E-17"/>
                  <c:y val="-5.8983076037080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25-46B8-B9F5-FD33DEBC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'Kalkulator troškova'!$C$13</c:f>
              <c:numCache>
                <c:formatCode>_-* #,##0\ [$RSD]_-;\-* #,##0\ [$RSD]_-;_-* "-"??\ [$RSD]_-;_-@_-</c:formatCode>
                <c:ptCount val="1"/>
                <c:pt idx="0">
                  <c:v>63208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5-46B8-B9F5-FD33DEBC3D7B}"/>
            </c:ext>
          </c:extLst>
        </c:ser>
        <c:ser>
          <c:idx val="1"/>
          <c:order val="1"/>
          <c:tx>
            <c:strRef>
              <c:f>'Kalkulator troškova'!$B$14</c:f>
              <c:strCache>
                <c:ptCount val="1"/>
                <c:pt idx="0">
                  <c:v>Preostalo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5.8983076037080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25-46B8-B9F5-FD33DEBC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'Kalkulator troškova'!$C$14</c:f>
              <c:numCache>
                <c:formatCode>_-* #,##0\ [$RSD]_-;\-* #,##0\ [$RSD]_-;_-* "-"??\ [$RSD]_-;_-@_-</c:formatCode>
                <c:ptCount val="1"/>
                <c:pt idx="0">
                  <c:v>21792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5-46B8-B9F5-FD33DEBC3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3"/>
        <c:gapDepth val="0"/>
        <c:shape val="cylinder"/>
        <c:axId val="483717400"/>
        <c:axId val="483713464"/>
        <c:axId val="0"/>
      </c:bar3DChart>
      <c:catAx>
        <c:axId val="483717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83713464"/>
        <c:crosses val="autoZero"/>
        <c:auto val="1"/>
        <c:lblAlgn val="ctr"/>
        <c:lblOffset val="100"/>
        <c:noMultiLvlLbl val="0"/>
      </c:catAx>
      <c:valAx>
        <c:axId val="483713464"/>
        <c:scaling>
          <c:orientation val="minMax"/>
        </c:scaling>
        <c:delete val="1"/>
        <c:axPos val="b"/>
        <c:numFmt formatCode="_-* #,##0\ [$RSD]_-;\-* #,##0\ [$RSD]_-;_-* &quot;-&quot;??\ [$RSD]_-;_-@_-" sourceLinked="1"/>
        <c:majorTickMark val="none"/>
        <c:minorTickMark val="none"/>
        <c:tickLblPos val="nextTo"/>
        <c:crossAx val="48371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74590562703465"/>
          <c:y val="0.63595831243381817"/>
          <c:w val="0.57793920174944446"/>
          <c:h val="0.19797520220136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747257028237847E-2"/>
          <c:y val="0"/>
          <c:w val="0.84189611235409456"/>
          <c:h val="0.27685768445610964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'Kalkulator troškova'!$B$3</c:f>
              <c:strCache>
                <c:ptCount val="1"/>
                <c:pt idx="0">
                  <c:v>Troškovi stanovanja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troškova'!$C$3</c:f>
              <c:numCache>
                <c:formatCode>_-* #,##0\ [$RSD]_-;\-* #,##0\ [$RSD]_-;_-* "-"??\ [$RSD]_-;_-@_-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D-4E87-9A50-034EBA20E038}"/>
            </c:ext>
          </c:extLst>
        </c:ser>
        <c:ser>
          <c:idx val="1"/>
          <c:order val="1"/>
          <c:tx>
            <c:strRef>
              <c:f>'Kalkulator troškova'!$B$4</c:f>
              <c:strCache>
                <c:ptCount val="1"/>
                <c:pt idx="0">
                  <c:v>Komunalne usluge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troškova'!$C$4</c:f>
              <c:numCache>
                <c:formatCode>_-* #,##0\ [$RSD]_-;\-* #,##0\ [$RSD]_-;_-* "-"??\ [$RSD]_-;_-@_-</c:formatCode>
                <c:ptCount val="1"/>
                <c:pt idx="0">
                  <c:v>16540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4D-4E87-9A50-034EBA20E038}"/>
            </c:ext>
          </c:extLst>
        </c:ser>
        <c:ser>
          <c:idx val="2"/>
          <c:order val="2"/>
          <c:tx>
            <c:strRef>
              <c:f>'Kalkulator troškova'!$B$5</c:f>
              <c:strCache>
                <c:ptCount val="1"/>
                <c:pt idx="0">
                  <c:v>Telekomunikacije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troškova'!$C$5</c:f>
              <c:numCache>
                <c:formatCode>_-* #,##0\ [$RSD]_-;\-* #,##0\ [$RSD]_-;_-* "-"??\ [$RSD]_-;_-@_-</c:formatCode>
                <c:ptCount val="1"/>
                <c:pt idx="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4D-4E87-9A50-034EBA20E038}"/>
            </c:ext>
          </c:extLst>
        </c:ser>
        <c:ser>
          <c:idx val="3"/>
          <c:order val="3"/>
          <c:tx>
            <c:strRef>
              <c:f>'Kalkulator troškova'!$B$6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troškova'!$C$6</c:f>
              <c:numCache>
                <c:formatCode>_-* #,##0\ [$RSD]_-;\-* #,##0\ [$RSD]_-;_-* "-"??\ [$RSD]_-;_-@_-</c:formatCode>
                <c:ptCount val="1"/>
                <c:pt idx="0">
                  <c:v>6890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4D-4E87-9A50-034EBA20E038}"/>
            </c:ext>
          </c:extLst>
        </c:ser>
        <c:ser>
          <c:idx val="4"/>
          <c:order val="4"/>
          <c:tx>
            <c:strRef>
              <c:f>'Kalkulator troškova'!$B$7</c:f>
              <c:strCache>
                <c:ptCount val="1"/>
                <c:pt idx="0">
                  <c:v>Kupovina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troškova'!$C$7</c:f>
              <c:numCache>
                <c:formatCode>_-* #,##0\ [$RSD]_-;\-* #,##0\ [$RSD]_-;_-* "-"??\ [$RSD]_-;_-@_-</c:formatCode>
                <c:ptCount val="1"/>
                <c:pt idx="0">
                  <c:v>14600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4D-4E87-9A50-034EBA20E038}"/>
            </c:ext>
          </c:extLst>
        </c:ser>
        <c:ser>
          <c:idx val="5"/>
          <c:order val="5"/>
          <c:tx>
            <c:strRef>
              <c:f>'Kalkulator troškova'!$B$8</c:f>
              <c:strCache>
                <c:ptCount val="1"/>
                <c:pt idx="0">
                  <c:v>Razonoda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troškova'!$C$8</c:f>
              <c:numCache>
                <c:formatCode>_-* #,##0\ [$RSD]_-;\-* #,##0\ [$RSD]_-;_-* "-"??\ [$RSD]_-;_-@_-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4D-4E87-9A50-034EBA20E038}"/>
            </c:ext>
          </c:extLst>
        </c:ser>
        <c:ser>
          <c:idx val="6"/>
          <c:order val="6"/>
          <c:tx>
            <c:strRef>
              <c:f>'Kalkulator troškova'!$B$9</c:f>
              <c:strCache>
                <c:ptCount val="1"/>
                <c:pt idx="0">
                  <c:v>Obrazovanje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troškova'!$C$9</c:f>
              <c:numCache>
                <c:formatCode>_-* #,##0\ [$RSD]_-;\-* #,##0\ [$RSD]_-;_-* "-"??\ [$RSD]_-;_-@_-</c:formatCode>
                <c:ptCount val="1"/>
                <c:pt idx="0">
                  <c:v>1614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4D-4E87-9A50-034EBA20E038}"/>
            </c:ext>
          </c:extLst>
        </c:ser>
        <c:ser>
          <c:idx val="7"/>
          <c:order val="7"/>
          <c:tx>
            <c:strRef>
              <c:f>'Kalkulator troškova'!$B$10</c:f>
              <c:strCache>
                <c:ptCount val="1"/>
                <c:pt idx="0">
                  <c:v>Osiguranje i porezi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troškova'!$C$10</c:f>
              <c:numCache>
                <c:formatCode>_-* #,##0\ [$RSD]_-;\-* #,##0\ [$RSD]_-;_-* "-"??\ [$RSD]_-;_-@_-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4D-4E87-9A50-034EBA20E038}"/>
            </c:ext>
          </c:extLst>
        </c:ser>
        <c:ser>
          <c:idx val="8"/>
          <c:order val="8"/>
          <c:tx>
            <c:strRef>
              <c:f>'Kalkulator troškova'!$B$11</c:f>
              <c:strCache>
                <c:ptCount val="1"/>
                <c:pt idx="0">
                  <c:v>Putovanja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troškova'!$C$11</c:f>
              <c:numCache>
                <c:formatCode>_-* #,##0\ [$RSD]_-;\-* #,##0\ [$RSD]_-;_-* "-"??\ [$RSD]_-;_-@_-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4D-4E87-9A50-034EBA20E038}"/>
            </c:ext>
          </c:extLst>
        </c:ser>
        <c:ser>
          <c:idx val="9"/>
          <c:order val="9"/>
          <c:tx>
            <c:strRef>
              <c:f>'Kalkulator troškova'!$B$12</c:f>
              <c:strCache>
                <c:ptCount val="1"/>
                <c:pt idx="0">
                  <c:v>Zdravlje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troškova'!$C$12</c:f>
              <c:numCache>
                <c:formatCode>_-* #,##0\ [$RSD]_-;\-* #,##0\ [$RSD]_-;_-* "-"??\ [$RSD]_-;_-@_-</c:formatCode>
                <c:ptCount val="1"/>
                <c:pt idx="0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4D-4E87-9A50-034EBA20E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gapDepth val="35"/>
        <c:shape val="box"/>
        <c:axId val="224743744"/>
        <c:axId val="224744072"/>
        <c:axId val="0"/>
      </c:bar3DChart>
      <c:catAx>
        <c:axId val="224743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44072"/>
        <c:crosses val="autoZero"/>
        <c:auto val="1"/>
        <c:lblAlgn val="ctr"/>
        <c:lblOffset val="100"/>
        <c:noMultiLvlLbl val="0"/>
      </c:catAx>
      <c:valAx>
        <c:axId val="224744072"/>
        <c:scaling>
          <c:orientation val="minMax"/>
        </c:scaling>
        <c:delete val="0"/>
        <c:axPos val="b"/>
        <c:numFmt formatCode="_-* #,##0\ [$RSD]_-;\-* #,##0\ [$RSD]_-;_-* &quot;-&quot;??\ [$RSD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r-Latn-RS"/>
          </a:p>
        </c:txPr>
        <c:crossAx val="224743744"/>
        <c:crosses val="autoZero"/>
        <c:crossBetween val="between"/>
        <c:majorUnit val="15000"/>
        <c:minorUnit val="5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575020089176187"/>
          <c:y val="0.4166644794400699"/>
          <c:w val="0.68468564342397309"/>
          <c:h val="0.30555774278215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plotArea>
      <cx:plotAreaRegion>
        <cx:plotSurface>
          <cx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cx:spPr>
        </cx:plotSurface>
        <cx:series layoutId="sunburst" uniqueId="{AE3C32AE-5BD4-44DD-BCEA-A9072B198982}">
          <cx:dataLabels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>
                  <a:latin typeface="Arial Black" panose="020B0A04020102020204" pitchFamily="34" charset="0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3F140213-12A7-4A9B-9B60-6FD545CA5018}"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ysClr val="window" lastClr="FFFFFF"/>
                    </a:solidFill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 sz="1000" b="0">
                  <a:latin typeface="Arial Black" panose="020B0A0402010202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series layoutId="waterfall" uniqueId="{A8A0CDE2-5463-4A0F-94C9-B1903279E10B}">
          <cx:dataPt idx="0">
            <cx:spPr>
              <a:solidFill>
                <a:schemeClr val="accent2"/>
              </a:solidFill>
            </cx:spPr>
          </cx:dataPt>
          <cx:dataPt idx="1">
            <cx:spPr>
              <a:solidFill>
                <a:schemeClr val="accent4"/>
              </a:solidFill>
            </cx:spPr>
          </cx:dataPt>
          <cx:dataLabels pos="out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cx:txPr>
            <cx:visibility seriesName="0" categoryName="0" value="1"/>
            <cx:dataLabel idx="0" pos="outEnd">
              <cx:numFmt formatCode="_-* #.##0 [$RSD]_-;-* #.##0 [$RSD]_-;_-* &quot;-&quot; [$RSD]_-;_-@_-" sourceLinked="0"/>
              <cx:separator>, </cx:separator>
            </cx:dataLabel>
            <cx:dataLabel idx="1" pos="outEnd">
              <cx:numFmt formatCode="_-* #.##0 [$RSD]_-;-* #.##0 [$RSD]_-;_-* &quot;-&quot; [$RSD]_-;_-@_-" sourceLinked="0"/>
              <cx:separator>, </cx:separator>
            </cx:dataLabel>
            <cx:dataLabel idx="2" pos="outEnd">
              <cx:numFmt formatCode="_-* #.##0 [$RSD]_-;-* #.##0 [$RSD]_-;_-* &quot;-&quot; [$RSD]_-;_-@_-" sourceLinked="0"/>
              <cx:separator>, </cx:separator>
            </cx:dataLabel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  <cx:txPr>
          <a:bodyPr spcFirstLastPara="1" vertOverflow="ellipsis" wrap="square" lIns="0" tIns="0" rIns="0" bIns="0" anchor="ctr" anchorCtr="1"/>
          <a:lstStyle/>
          <a:p>
            <a:pPr>
              <a:defRPr lang="en-US" sz="9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1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 hidden="1">
        <cx:valScaling/>
        <cx:tickLabels/>
      </cx:axis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sunburst" uniqueId="{27141C83-0DA2-4A46-8C88-03F19998D4A9}">
          <cx:dataLabels pos="ctr">
            <cx:visibility seriesName="0" categoryName="1" value="0"/>
          </cx:dataLabels>
          <cx:dataId val="0"/>
        </cx:series>
      </cx:plotAreaRegion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lt1">
        <a:lumMod val="95000"/>
      </a:schemeClr>
    </cs:fontRef>
    <cs:spPr>
      <a:solidFill>
        <a:schemeClr val="lt1"/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 w="9525">
        <a:solidFill>
          <a:schemeClr val="tx1"/>
        </a:solidFill>
      </a:ln>
      <a:effectLst>
        <a:outerShdw blurRad="57150" dist="19050" dir="5400000" algn="ctr" rotWithShape="0">
          <a:srgbClr val="000000">
            <a:alpha val="63000"/>
          </a:srgb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>
            <a:lumMod val="50000"/>
          </a:schemeClr>
        </a:solidFill>
      </a:ln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hyperlink" Target="#Dashboard!A1"/><Relationship Id="rId1" Type="http://schemas.openxmlformats.org/officeDocument/2006/relationships/hyperlink" Target="#'Baza tro&#353;kova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Po&#269;etna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svg"/><Relationship Id="rId18" Type="http://schemas.openxmlformats.org/officeDocument/2006/relationships/image" Target="../media/image16.png"/><Relationship Id="rId26" Type="http://schemas.openxmlformats.org/officeDocument/2006/relationships/chart" Target="../charts/chart2.xml"/><Relationship Id="rId3" Type="http://schemas.openxmlformats.org/officeDocument/2006/relationships/chart" Target="../charts/chart1.xml"/><Relationship Id="rId21" Type="http://schemas.openxmlformats.org/officeDocument/2006/relationships/image" Target="../media/image19.svg"/><Relationship Id="rId7" Type="http://schemas.openxmlformats.org/officeDocument/2006/relationships/image" Target="../media/image5.svg"/><Relationship Id="rId12" Type="http://schemas.openxmlformats.org/officeDocument/2006/relationships/image" Target="../media/image10.png"/><Relationship Id="rId17" Type="http://schemas.openxmlformats.org/officeDocument/2006/relationships/image" Target="../media/image15.svg"/><Relationship Id="rId25" Type="http://schemas.microsoft.com/office/2014/relationships/chartEx" Target="../charts/chartEx3.xml"/><Relationship Id="rId2" Type="http://schemas.microsoft.com/office/2014/relationships/chartEx" Target="../charts/chartEx2.xml"/><Relationship Id="rId16" Type="http://schemas.openxmlformats.org/officeDocument/2006/relationships/image" Target="../media/image14.png"/><Relationship Id="rId20" Type="http://schemas.openxmlformats.org/officeDocument/2006/relationships/image" Target="../media/image18.png"/><Relationship Id="rId1" Type="http://schemas.microsoft.com/office/2014/relationships/chartEx" Target="../charts/chartEx1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24" Type="http://schemas.openxmlformats.org/officeDocument/2006/relationships/hyperlink" Target="#'Baza tro&#353;kova'!A1"/><Relationship Id="rId5" Type="http://schemas.openxmlformats.org/officeDocument/2006/relationships/image" Target="../media/image3.svg"/><Relationship Id="rId15" Type="http://schemas.openxmlformats.org/officeDocument/2006/relationships/image" Target="../media/image13.svg"/><Relationship Id="rId23" Type="http://schemas.openxmlformats.org/officeDocument/2006/relationships/image" Target="../media/image21.svg"/><Relationship Id="rId10" Type="http://schemas.openxmlformats.org/officeDocument/2006/relationships/image" Target="../media/image8.png"/><Relationship Id="rId19" Type="http://schemas.openxmlformats.org/officeDocument/2006/relationships/image" Target="../media/image17.svg"/><Relationship Id="rId4" Type="http://schemas.openxmlformats.org/officeDocument/2006/relationships/image" Target="../media/image2.png"/><Relationship Id="rId9" Type="http://schemas.openxmlformats.org/officeDocument/2006/relationships/image" Target="../media/image7.svg"/><Relationship Id="rId14" Type="http://schemas.openxmlformats.org/officeDocument/2006/relationships/image" Target="../media/image12.png"/><Relationship Id="rId22" Type="http://schemas.openxmlformats.org/officeDocument/2006/relationships/image" Target="../media/image20.png"/><Relationship Id="rId27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209550</xdr:rowOff>
    </xdr:from>
    <xdr:to>
      <xdr:col>0</xdr:col>
      <xdr:colOff>1485900</xdr:colOff>
      <xdr:row>7</xdr:row>
      <xdr:rowOff>76200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1055370"/>
          <a:ext cx="1428750" cy="781050"/>
          <a:chOff x="57150" y="895350"/>
          <a:chExt cx="1428750" cy="781050"/>
        </a:xfrm>
      </xdr:grpSpPr>
      <xdr:sp macro="" textlink="">
        <xdr:nvSpPr>
          <xdr:cNvPr id="2" name="Rounded Rectangle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7150" y="895350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Baza troškova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3" name="Rounded Rectangle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7150" y="1343025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Dashboard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</xdr:col>
      <xdr:colOff>590550</xdr:colOff>
      <xdr:row>3</xdr:row>
      <xdr:rowOff>142875</xdr:rowOff>
    </xdr:from>
    <xdr:to>
      <xdr:col>18</xdr:col>
      <xdr:colOff>596546</xdr:colOff>
      <xdr:row>30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167890" y="988695"/>
          <a:ext cx="10369196" cy="6153149"/>
          <a:chOff x="2124075" y="990600"/>
          <a:chExt cx="10369196" cy="6153149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5824"/>
          <a:stretch/>
        </xdr:blipFill>
        <xdr:spPr>
          <a:xfrm>
            <a:off x="2124075" y="990600"/>
            <a:ext cx="10369196" cy="6153149"/>
          </a:xfrm>
          <a:prstGeom prst="rect">
            <a:avLst/>
          </a:prstGeom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4324350" y="1800225"/>
            <a:ext cx="3057525" cy="424814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Ideja</a:t>
            </a:r>
            <a:r>
              <a:rPr lang="en-U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nam je bila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da napravimo dashboard koji će nam dati uvid u raspolaganje našim budžetom i pratiti mesečne odlive gotovine na razne vrste troškova.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Unosom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našu bazu određene vrste troškova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(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koji su nastali određenog datuma u određenom iznosu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naš program daje uvid u to koliko iznose naši troškovi za određeni mesec i koliko nam preostaje budžeta nakon plaćanja svih tih troškova.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Što se tiče vrste troškova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tu imamo 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troškov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stanovanja, 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tro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š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v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 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komunalnih usluga,  troškove telekomunikacija, troškove kupovine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itd.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7458074" y="1771650"/>
            <a:ext cx="2924176" cy="424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prvi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prazan red ispod tabele </a:t>
            </a:r>
            <a:r>
              <a:rPr lang="sr-Latn-RS" sz="1200" b="1" i="1" u="sng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Baza troškova</a:t>
            </a:r>
            <a:r>
              <a:rPr lang="sr-Latn-RS" sz="1200" b="1" i="0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un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eli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bismo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datum nastanka određenog troška, vrstu troška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(nakon što unesemo datum nastanka troška,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u ćeliji vrste troška pojavljuje nam se 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padajući meni 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z kog biramo kategoriju kojoj trošak pripada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kao i njegov iznos.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dashboard-u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manuelno unosimo iznos budžeta kojim raspolažemo datog meseca i,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klikom na željenu godinu i mesec, dobili 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bismo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podatke o iznosima svih nastalih troškova pojedinačno i ukupno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.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Pored toga, imamo i uvid u to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koliko nam budžeta preostaje nakon što sve to platimo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.</a:t>
            </a:r>
          </a:p>
          <a:p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Takođe,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u okviru dashboard-a imamo i dugme </a:t>
            </a:r>
            <a:r>
              <a:rPr lang="sr-Latn-RS" sz="1200" b="1" i="1" u="sng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Dodaj novi trošak</a:t>
            </a:r>
            <a:r>
              <a:rPr lang="sr-Latn-RS" sz="1200" b="1" i="1" u="none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koje nas vodi na radni list Baza troškova, gde ćemo unositi nastale troškove.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sr-Latn-RS" sz="1200" b="1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Grafički</a:t>
            </a:r>
            <a:r>
              <a:rPr lang="sr-Latn-RS" sz="1200" b="1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smo prikazale udeo pojedinačnih troškova u ukupnim, kao i udeo ukupnih troškova u mesečnom budžetu.</a:t>
            </a:r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4</xdr:row>
      <xdr:rowOff>19049</xdr:rowOff>
    </xdr:from>
    <xdr:to>
      <xdr:col>5</xdr:col>
      <xdr:colOff>381000</xdr:colOff>
      <xdr:row>18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50" y="1009649"/>
          <a:ext cx="2933700" cy="3295651"/>
        </a:xfrm>
        <a:prstGeom prst="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none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VRSTE TRO</a:t>
          </a:r>
          <a:r>
            <a:rPr lang="sr-Latn-RS" sz="1600" b="1" u="none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ŠKOVA</a:t>
          </a:r>
        </a:p>
        <a:p>
          <a:pPr algn="ctr"/>
          <a:endParaRPr lang="sr-Latn-RS" sz="1200" b="1" u="sng">
            <a:solidFill>
              <a:schemeClr val="accent5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sr-Latn-RS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1.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Troškovi stanovanja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hipoteka, zakupnina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Komunalne usluge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voda, struja, grejanje,...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3.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Telekomunikacije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internet, mobilni, fiksni,...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4.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Kupovina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nameštaj, kućna, kućna hemija, garderoba, kozmetika, hrana,...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5.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Transport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servis automobila, registracija, gorivo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6.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Obrazovanje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školarine, udžbenici</a:t>
          </a:r>
        </a:p>
        <a:p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7.Osiguranje i porezi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8.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Zdravlje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9.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Razonoda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bioskop, pozorište, muzej, teretana, izlasci, restoran,...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10.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Putovanja</a:t>
          </a:r>
          <a:endParaRPr lang="en-US" sz="1100" b="1" i="1">
            <a:solidFill>
              <a:schemeClr val="accent5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3</xdr:row>
      <xdr:rowOff>180975</xdr:rowOff>
    </xdr:from>
    <xdr:to>
      <xdr:col>0</xdr:col>
      <xdr:colOff>1485900</xdr:colOff>
      <xdr:row>6</xdr:row>
      <xdr:rowOff>190500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7150" y="1011555"/>
          <a:ext cx="1428750" cy="763905"/>
          <a:chOff x="57150" y="895350"/>
          <a:chExt cx="1428750" cy="781050"/>
        </a:xfrm>
      </xdr:grpSpPr>
      <xdr:sp macro="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57150" y="895350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Početna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5" name="Rounded Rectangle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7150" y="1343025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Dashboard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</xdr:col>
      <xdr:colOff>304800</xdr:colOff>
      <xdr:row>18</xdr:row>
      <xdr:rowOff>142874</xdr:rowOff>
    </xdr:from>
    <xdr:to>
      <xdr:col>5</xdr:col>
      <xdr:colOff>438149</xdr:colOff>
      <xdr:row>21</xdr:row>
      <xdr:rowOff>28575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838325" y="4505324"/>
          <a:ext cx="2924174" cy="571501"/>
        </a:xfrm>
        <a:prstGeom prst="rightArrow">
          <a:avLst>
            <a:gd name="adj1" fmla="val 53333"/>
            <a:gd name="adj2" fmla="val 7343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U</a:t>
          </a:r>
          <a:r>
            <a:rPr lang="sr-Latn-RS" sz="1100" b="1" baseline="0">
              <a:latin typeface="Arial" panose="020B0604020202020204" pitchFamily="34" charset="0"/>
              <a:cs typeface="Arial" panose="020B0604020202020204" pitchFamily="34" charset="0"/>
            </a:rPr>
            <a:t> prvi slobodni red unosimo podatke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1752600</xdr:colOff>
      <xdr:row>23</xdr:row>
      <xdr:rowOff>131378</xdr:rowOff>
    </xdr:from>
    <xdr:to>
      <xdr:col>5</xdr:col>
      <xdr:colOff>1291896</xdr:colOff>
      <xdr:row>32</xdr:row>
      <xdr:rowOff>109482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4715933" y="6286645"/>
          <a:ext cx="2367163" cy="2264104"/>
          <a:chOff x="4661228" y="4247930"/>
          <a:chExt cx="2331983" cy="2244397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4702284" y="4412155"/>
            <a:ext cx="2222500" cy="19816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4661228" y="4247930"/>
            <a:ext cx="2331983" cy="1302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sr-Latn-RS" sz="15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NAJVEĆI IZNOS TROŠKOVA U OVOM MESECU</a:t>
            </a:r>
            <a:r>
              <a:rPr lang="en-US" sz="1500" b="1" cap="none" spc="0" baseline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:</a:t>
            </a:r>
            <a:endParaRPr lang="en-US" sz="1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'Kalkulator troškova'!H6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4713233" y="5583620"/>
            <a:ext cx="2222499" cy="908707"/>
          </a:xfrm>
          <a:prstGeom prst="rect">
            <a:avLst/>
          </a:prstGeom>
          <a:noFill/>
          <a:ln w="9525" cmpd="sng">
            <a:noFill/>
          </a:ln>
          <a:effectLst>
            <a:glow rad="228600">
              <a:schemeClr val="accent1">
                <a:satMod val="175000"/>
                <a:alpha val="4000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3EBD644-B82A-4E15-A980-2809DFD90DEE}" type="TxLink">
              <a:rPr lang="en-US" sz="2000" b="1" i="0" u="none" strike="noStrike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chemeClr val="bg1"/>
                </a:solidFill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 16,540 RSD </a:t>
            </a:fld>
            <a:endParaRPr lang="en-US" sz="115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19159</xdr:colOff>
      <xdr:row>16</xdr:row>
      <xdr:rowOff>10949</xdr:rowOff>
    </xdr:from>
    <xdr:to>
      <xdr:col>5</xdr:col>
      <xdr:colOff>1226206</xdr:colOff>
      <xdr:row>23</xdr:row>
      <xdr:rowOff>229914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4760492" y="4388216"/>
          <a:ext cx="2256914" cy="1996965"/>
          <a:chOff x="4702284" y="4412155"/>
          <a:chExt cx="2222500" cy="1981638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>
          <a:xfrm>
            <a:off x="4702284" y="4412155"/>
            <a:ext cx="2222500" cy="19816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 txBox="1"/>
        </xdr:nvSpPr>
        <xdr:spPr>
          <a:xfrm>
            <a:off x="4817241" y="4434052"/>
            <a:ext cx="1992586" cy="689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sr-Latn-RS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UKUPAN IZNOS TROŠKOVA</a:t>
            </a:r>
            <a:r>
              <a:rPr lang="sr-Latn-RS" sz="1600" b="1" cap="none" spc="0" baseline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 ZA</a:t>
            </a:r>
            <a:endParaRPr lang="en-US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'Kalkulator troškova'!H4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 txBox="1"/>
        </xdr:nvSpPr>
        <xdr:spPr>
          <a:xfrm>
            <a:off x="4740603" y="5036206"/>
            <a:ext cx="2145862" cy="4598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3475CAA-4EE0-48D8-8D3C-774828A4941E}" type="TxLink">
              <a:rPr lang="en-US" sz="2400" b="1" i="0" u="none" strike="noStrike" cap="none" spc="0">
                <a:ln w="12700">
                  <a:solidFill>
                    <a:schemeClr val="accent1"/>
                  </a:solidFill>
                  <a:prstDash val="solid"/>
                </a:ln>
                <a:pattFill prst="pct50">
                  <a:fgClr>
                    <a:schemeClr val="accent1"/>
                  </a:fgClr>
                  <a:bgClr>
                    <a:schemeClr val="accent1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accent1"/>
                  </a:outerShdw>
                </a:effectLst>
                <a:latin typeface="Arial"/>
                <a:cs typeface="Arial"/>
              </a:rPr>
              <a:pPr algn="ctr"/>
              <a:t>Januar</a:t>
            </a:fld>
            <a:endParaRPr lang="en-US" sz="2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endParaRPr>
          </a:p>
        </xdr:txBody>
      </xdr:sp>
      <xdr:sp macro="" textlink="'Kalkulator troškova'!C17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 txBox="1"/>
        </xdr:nvSpPr>
        <xdr:spPr>
          <a:xfrm>
            <a:off x="4702285" y="5474137"/>
            <a:ext cx="2222499" cy="9087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81A4A82-0F57-4103-842E-5A560245D8EE}" type="TxLink">
              <a:rPr lang="en-US" sz="2000" b="1" i="0" u="none" strike="noStrike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 63,208 RSD </a:t>
            </a:fld>
            <a:endParaRPr lang="en-US" sz="2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3</xdr:col>
      <xdr:colOff>317500</xdr:colOff>
      <xdr:row>5</xdr:row>
      <xdr:rowOff>54741</xdr:rowOff>
    </xdr:from>
    <xdr:to>
      <xdr:col>5</xdr:col>
      <xdr:colOff>1226206</xdr:colOff>
      <xdr:row>15</xdr:row>
      <xdr:rowOff>120431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0" name="Chart 129">
              <a:extLst>
                <a:ext uri="{FF2B5EF4-FFF2-40B4-BE49-F238E27FC236}">
                  <a16:creationId xmlns:a16="http://schemas.microsoft.com/office/drawing/2014/main" id="{00000000-0008-0000-0200-00008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81680" y="1022481"/>
              <a:ext cx="3735726" cy="3220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4</xdr:col>
      <xdr:colOff>1774534</xdr:colOff>
      <xdr:row>10</xdr:row>
      <xdr:rowOff>97923</xdr:rowOff>
    </xdr:from>
    <xdr:ext cx="184730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660859" y="246012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1</xdr:col>
      <xdr:colOff>1061985</xdr:colOff>
      <xdr:row>1</xdr:row>
      <xdr:rowOff>21897</xdr:rowOff>
    </xdr:from>
    <xdr:to>
      <xdr:col>4</xdr:col>
      <xdr:colOff>869859</xdr:colOff>
      <xdr:row>3</xdr:row>
      <xdr:rowOff>374008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149571" y="21897"/>
          <a:ext cx="3574081" cy="582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r-Latn-RS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  <a:ea typeface="+mn-ea"/>
              <a:cs typeface="+mn-cs"/>
            </a:rPr>
            <a:t>LIČNE FINANSIJE</a:t>
          </a:r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101600">
                <a:schemeClr val="accent1">
                  <a:satMod val="175000"/>
                  <a:alpha val="40000"/>
                </a:schemeClr>
              </a:glow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Arial Black" panose="020B0A04020102020204" pitchFamily="34" charset="0"/>
          </a:endParaRPr>
        </a:p>
        <a:p>
          <a:pPr algn="l"/>
          <a:endParaRPr lang="en-US" sz="32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6</xdr:col>
      <xdr:colOff>569311</xdr:colOff>
      <xdr:row>0</xdr:row>
      <xdr:rowOff>0</xdr:rowOff>
    </xdr:from>
    <xdr:to>
      <xdr:col>8</xdr:col>
      <xdr:colOff>1026153</xdr:colOff>
      <xdr:row>4</xdr:row>
      <xdr:rowOff>284656</xdr:rowOff>
    </xdr:to>
    <xdr:sp macro="" textlink="">
      <xdr:nvSpPr>
        <xdr:cNvPr id="37" name="Right Arrow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7543363" y="0"/>
          <a:ext cx="2701238" cy="985346"/>
        </a:xfrm>
        <a:prstGeom prst="rightArrow">
          <a:avLst>
            <a:gd name="adj1" fmla="val 50000"/>
            <a:gd name="adj2" fmla="val 4710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UNESI IZNOS BUD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Ž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ETA KOJIM RASPOLA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Ž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E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Š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OVOG MESECA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1116724</xdr:colOff>
      <xdr:row>18</xdr:row>
      <xdr:rowOff>76635</xdr:rowOff>
    </xdr:from>
    <xdr:to>
      <xdr:col>12</xdr:col>
      <xdr:colOff>810174</xdr:colOff>
      <xdr:row>32</xdr:row>
      <xdr:rowOff>54741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5" name="Chart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8864" y="4953435"/>
              <a:ext cx="5035070" cy="34985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1215260</xdr:colOff>
      <xdr:row>13</xdr:row>
      <xdr:rowOff>251809</xdr:rowOff>
    </xdr:from>
    <xdr:to>
      <xdr:col>13</xdr:col>
      <xdr:colOff>245465</xdr:colOff>
      <xdr:row>19</xdr:row>
      <xdr:rowOff>32843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667845</xdr:colOff>
      <xdr:row>10</xdr:row>
      <xdr:rowOff>437931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028621" y="274801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1116725</xdr:colOff>
      <xdr:row>5</xdr:row>
      <xdr:rowOff>36897</xdr:rowOff>
    </xdr:from>
    <xdr:to>
      <xdr:col>12</xdr:col>
      <xdr:colOff>776200</xdr:colOff>
      <xdr:row>13</xdr:row>
      <xdr:rowOff>353680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0624792" y="1002097"/>
          <a:ext cx="5001941" cy="2975316"/>
          <a:chOff x="7094481" y="1022241"/>
          <a:chExt cx="4728530" cy="2988162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98" name="Rounded Rectangle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/>
        </xdr:nvSpPr>
        <xdr:spPr>
          <a:xfrm>
            <a:off x="7165926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5" name="Graphic 81" descr="Wireless router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470914" y="1029082"/>
            <a:ext cx="835759" cy="810422"/>
          </a:xfrm>
          <a:prstGeom prst="rect">
            <a:avLst/>
          </a:prstGeom>
        </xdr:spPr>
      </xdr:pic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7205348" y="1800475"/>
            <a:ext cx="1366891" cy="3412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Telekomunikacije</a:t>
            </a:r>
          </a:p>
          <a:p>
            <a:endParaRPr lang="en-US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'Kalkulator troškova'!C5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7325778" y="2077725"/>
            <a:ext cx="1126031" cy="341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1A867C7-F327-4098-A74D-FC4882469DA2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5,000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03" name="Rounded Rectangle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/>
        </xdr:nvSpPr>
        <xdr:spPr>
          <a:xfrm>
            <a:off x="8800064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1" name="Graphic 73" descr="Car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016130" y="1022241"/>
            <a:ext cx="967351" cy="881682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8880385" y="1807013"/>
            <a:ext cx="1238841" cy="242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Transport</a:t>
            </a:r>
          </a:p>
        </xdr:txBody>
      </xdr:sp>
      <xdr:sp macro="" textlink="'Kalkulator troškova'!C6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8896544" y="2049814"/>
            <a:ext cx="1206522" cy="3166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09AE117-32CA-4448-A1B3-D6004DEA5191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6,890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18" name="Rounded Rectangle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/>
        </xdr:nvSpPr>
        <xdr:spPr>
          <a:xfrm>
            <a:off x="10411811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3" name="Graphic 77" descr="Shopping cart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761777" y="1046638"/>
            <a:ext cx="711267" cy="727075"/>
          </a:xfrm>
          <a:prstGeom prst="rect">
            <a:avLst/>
          </a:prstGeom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0594943" y="1805791"/>
            <a:ext cx="1044935" cy="24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Kupovina</a:t>
            </a:r>
          </a:p>
        </xdr:txBody>
      </xdr:sp>
      <xdr:sp macro="" textlink="'Kalkulator troškova'!C7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10449514" y="2057603"/>
            <a:ext cx="1335793" cy="3284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0DB7B28-0F59-4094-A7F6-957B9900B974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14,600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08" name="Rounded Rectangle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165926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2" name="Graphic 75" descr="Handshake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385716" y="2539999"/>
            <a:ext cx="983133" cy="993936"/>
          </a:xfrm>
          <a:prstGeom prst="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7094481" y="3334142"/>
            <a:ext cx="1565603" cy="2944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Osiguranje i porezi</a:t>
            </a:r>
          </a:p>
        </xdr:txBody>
      </xdr:sp>
      <xdr:sp macro="" textlink="'Kalkulator troškova'!C10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7156940" y="3665850"/>
            <a:ext cx="1484476" cy="252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FB9979-2609-462A-9334-F1C2722CBBA8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-  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13" name="Rounded Rectangle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/>
        </xdr:nvSpPr>
        <xdr:spPr>
          <a:xfrm>
            <a:off x="8800064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4" name="Graphic 89" descr="Earth Globe   Asia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043209" y="2612747"/>
            <a:ext cx="889761" cy="890444"/>
          </a:xfrm>
          <a:prstGeom prst="rect">
            <a:avLst/>
          </a:prstGeom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8782490" y="3426019"/>
            <a:ext cx="1411200" cy="297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Putovanja</a:t>
            </a:r>
          </a:p>
        </xdr:txBody>
      </xdr:sp>
      <xdr:sp macro="" textlink="'Kalkulator troškova'!C11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8829356" y="3681787"/>
            <a:ext cx="1317467" cy="22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A8AB5EC-CBB1-415F-8D97-DCB0D6835655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7,500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3" name="Rounded 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10411811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3" name="Graphic 85" descr="Stethoscope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0730851" y="2631335"/>
            <a:ext cx="773119" cy="849809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10481832" y="3437045"/>
            <a:ext cx="1271159" cy="2756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Zdravlje</a:t>
            </a:r>
          </a:p>
        </xdr:txBody>
      </xdr:sp>
      <xdr:sp macro="" textlink="'Kalkulator troškova'!C12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0562627" y="3665249"/>
            <a:ext cx="1109569" cy="253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1BF5D52-1AC8-4AD8-9BAB-1857ADDFEF08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5,764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43794</xdr:colOff>
      <xdr:row>5</xdr:row>
      <xdr:rowOff>17304</xdr:rowOff>
    </xdr:from>
    <xdr:to>
      <xdr:col>3</xdr:col>
      <xdr:colOff>226050</xdr:colOff>
      <xdr:row>13</xdr:row>
      <xdr:rowOff>320835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43794" y="982504"/>
          <a:ext cx="3145589" cy="2962064"/>
          <a:chOff x="0" y="1035493"/>
          <a:chExt cx="3061653" cy="297491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65972" y="1035493"/>
            <a:ext cx="1411200" cy="1471662"/>
            <a:chOff x="65972" y="1029427"/>
            <a:chExt cx="1411200" cy="1472734"/>
          </a:xfrm>
        </xdr:grpSpPr>
        <xdr:sp macro="" textlink="">
          <xdr:nvSpPr>
            <xdr:cNvPr id="68" name="Rounded 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65972" y="1090961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8" name="Graphic 2" descr="House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353857" y="1029427"/>
              <a:ext cx="835430" cy="810225"/>
            </a:xfrm>
            <a:prstGeom prst="rect">
              <a:avLst/>
            </a:prstGeom>
          </xdr:spPr>
        </xdr:pic>
        <xdr:sp macro="" textlink="'Kalkulator troškova'!B3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168311" y="1789336"/>
              <a:ext cx="1206523" cy="53574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83ABF76-0355-45A1-A432-8B08B5134AC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Troškovi stanovanja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3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 txBox="1"/>
          </xdr:nvSpPr>
          <xdr:spPr>
            <a:xfrm>
              <a:off x="184471" y="2188515"/>
              <a:ext cx="1174203" cy="2521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ECB6AAF-D2FA-4ABE-83D8-E75AFF9A27B3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-   RSD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GrpSpPr/>
        </xdr:nvGrpSpPr>
        <xdr:grpSpPr>
          <a:xfrm>
            <a:off x="1650453" y="1083879"/>
            <a:ext cx="1411200" cy="1405107"/>
            <a:chOff x="1650453" y="1080043"/>
            <a:chExt cx="1411200" cy="1434251"/>
          </a:xfrm>
        </xdr:grpSpPr>
        <xdr:sp macro="" textlink="">
          <xdr:nvSpPr>
            <xdr:cNvPr id="83" name="Rounded Rectangle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SpPr/>
          </xdr:nvSpPr>
          <xdr:spPr>
            <a:xfrm>
              <a:off x="1650453" y="1080043"/>
              <a:ext cx="1411200" cy="1433036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1" name="Graphic 83" descr="Lightbulb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984401" y="1103648"/>
              <a:ext cx="743304" cy="758948"/>
            </a:xfrm>
            <a:prstGeom prst="rect">
              <a:avLst/>
            </a:prstGeom>
            <a:ln>
              <a:noFill/>
            </a:ln>
          </xdr:spPr>
        </xdr:pic>
        <xdr:sp macro="" textlink="'Kalkulator troškova'!B4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 txBox="1"/>
          </xdr:nvSpPr>
          <xdr:spPr>
            <a:xfrm>
              <a:off x="1663920" y="1820166"/>
              <a:ext cx="1384266" cy="4590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B65F88BA-0F34-4957-B9AE-7C42A0A12707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Komunalne usluge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4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:cNvPr>
            <xdr:cNvSpPr txBox="1"/>
          </xdr:nvSpPr>
          <xdr:spPr>
            <a:xfrm>
              <a:off x="1962857" y="2245599"/>
              <a:ext cx="786393" cy="2686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0AFA5FD-7AD7-4368-B9DE-20E6F724CB2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16,540 RSD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GrpSpPr/>
        </xdr:nvGrpSpPr>
        <xdr:grpSpPr>
          <a:xfrm>
            <a:off x="0" y="2588498"/>
            <a:ext cx="1554654" cy="1421905"/>
            <a:chOff x="0" y="2588498"/>
            <a:chExt cx="1554654" cy="1421905"/>
          </a:xfrm>
        </xdr:grpSpPr>
        <xdr:sp macro="" textlink="">
          <xdr:nvSpPr>
            <xdr:cNvPr id="88" name="Rounded Rectangle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/>
          </xdr:nvSpPr>
          <xdr:spPr>
            <a:xfrm>
              <a:off x="71727" y="2599203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56" name="Graphic 87" descr="Drama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350208" y="2588498"/>
              <a:ext cx="854239" cy="886702"/>
            </a:xfrm>
            <a:prstGeom prst="rect">
              <a:avLst/>
            </a:prstGeom>
          </xdr:spPr>
        </xdr:pic>
        <xdr:sp macro="" textlink="'Kalkulator troškova'!B8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 txBox="1"/>
          </xdr:nvSpPr>
          <xdr:spPr>
            <a:xfrm>
              <a:off x="0" y="3443373"/>
              <a:ext cx="1554654" cy="2546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EEC78CB-A439-4153-B3D2-455C3FA0F6B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Razonoda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8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197069" y="3687410"/>
              <a:ext cx="1160517" cy="2334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22363CA-0276-40D7-B749-75E551BBE05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5,300 RSD </a:t>
              </a:fld>
              <a:endParaRPr lang="en-US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GrpSpPr/>
        </xdr:nvGrpSpPr>
        <xdr:grpSpPr>
          <a:xfrm>
            <a:off x="1650453" y="2471343"/>
            <a:ext cx="1411200" cy="1539060"/>
            <a:chOff x="1650453" y="2471343"/>
            <a:chExt cx="1411200" cy="1539060"/>
          </a:xfrm>
        </xdr:grpSpPr>
        <xdr:sp macro="" textlink="">
          <xdr:nvSpPr>
            <xdr:cNvPr id="93" name="Rounded Rectangle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SpPr/>
          </xdr:nvSpPr>
          <xdr:spPr>
            <a:xfrm>
              <a:off x="1650453" y="2599203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54" name="Graphic 79" descr="Graduation cap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1957469" y="2471343"/>
              <a:ext cx="797168" cy="1021971"/>
            </a:xfrm>
            <a:prstGeom prst="rect">
              <a:avLst/>
            </a:prstGeom>
          </xdr:spPr>
        </xdr:pic>
        <xdr:sp macro="" textlink="'Kalkulator troškova'!B9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 txBox="1"/>
          </xdr:nvSpPr>
          <xdr:spPr>
            <a:xfrm>
              <a:off x="1812042" y="3362124"/>
              <a:ext cx="1088022" cy="26237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19D99E8-7A65-4F23-A227-D9E4C54005C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Obrazovanje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9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1898397" y="3682672"/>
              <a:ext cx="937209" cy="211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4B597EF-CFAA-4343-B4A1-35572107C8D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1,614 RSD </a:t>
              </a:fld>
              <a:endParaRPr lang="en-US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2</xdr:col>
      <xdr:colOff>952501</xdr:colOff>
      <xdr:row>4</xdr:row>
      <xdr:rowOff>65692</xdr:rowOff>
    </xdr:from>
    <xdr:to>
      <xdr:col>2</xdr:col>
      <xdr:colOff>1171465</xdr:colOff>
      <xdr:row>4</xdr:row>
      <xdr:rowOff>229918</xdr:rowOff>
    </xdr:to>
    <xdr:sp macro="[0]!ShowHideYearSelection" textlink="">
      <xdr:nvSpPr>
        <xdr:cNvPr id="46" name="Chevron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rot="5400000">
          <a:off x="2600215" y="739013"/>
          <a:ext cx="164226" cy="218964"/>
        </a:xfrm>
        <a:prstGeom prst="chevron">
          <a:avLst>
            <a:gd name="adj" fmla="val 625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87586</xdr:colOff>
      <xdr:row>4</xdr:row>
      <xdr:rowOff>65692</xdr:rowOff>
    </xdr:from>
    <xdr:to>
      <xdr:col>5</xdr:col>
      <xdr:colOff>306550</xdr:colOff>
      <xdr:row>4</xdr:row>
      <xdr:rowOff>229918</xdr:rowOff>
    </xdr:to>
    <xdr:sp macro="[0]!ShowHideMonthSelection" textlink="">
      <xdr:nvSpPr>
        <xdr:cNvPr id="47" name="Chevron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5400000">
          <a:off x="5731421" y="739013"/>
          <a:ext cx="164226" cy="218964"/>
        </a:xfrm>
        <a:prstGeom prst="chevron">
          <a:avLst>
            <a:gd name="adj" fmla="val 625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1137747</xdr:colOff>
      <xdr:row>4</xdr:row>
      <xdr:rowOff>251809</xdr:rowOff>
    </xdr:from>
    <xdr:to>
      <xdr:col>2</xdr:col>
      <xdr:colOff>1182415</xdr:colOff>
      <xdr:row>7</xdr:row>
      <xdr:rowOff>185244</xdr:rowOff>
    </xdr:to>
    <xdr:grpSp>
      <xdr:nvGrpSpPr>
        <xdr:cNvPr id="26" name="YearsGrp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230880" y="946076"/>
          <a:ext cx="1619468" cy="627701"/>
          <a:chOff x="1225333" y="952499"/>
          <a:chExt cx="1577427" cy="645073"/>
        </a:xfrm>
      </xdr:grpSpPr>
      <xdr:sp macro="[0]!OdabirGodine" textlink="">
        <xdr:nvSpPr>
          <xdr:cNvPr id="24" name="2020" hidden="1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226208" y="952499"/>
            <a:ext cx="1576552" cy="306552"/>
          </a:xfrm>
          <a:prstGeom prst="rect">
            <a:avLst/>
          </a:prstGeom>
          <a:solidFill>
            <a:srgbClr val="874EA9">
              <a:alpha val="89804"/>
            </a:srgbClr>
          </a:solidFill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2020</a:t>
            </a:r>
          </a:p>
        </xdr:txBody>
      </xdr:sp>
      <xdr:sp macro="[0]!OdabirGodine" textlink="">
        <xdr:nvSpPr>
          <xdr:cNvPr id="57" name="2021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1225333" y="1291020"/>
            <a:ext cx="1576552" cy="306552"/>
          </a:xfrm>
          <a:prstGeom prst="rect">
            <a:avLst/>
          </a:prstGeom>
          <a:solidFill>
            <a:srgbClr val="874EA9">
              <a:alpha val="89804"/>
            </a:srgbClr>
          </a:solidFill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2021</a:t>
            </a:r>
          </a:p>
        </xdr:txBody>
      </xdr:sp>
    </xdr:grpSp>
    <xdr:clientData/>
  </xdr:twoCellAnchor>
  <xdr:twoCellAnchor>
    <xdr:from>
      <xdr:col>3</xdr:col>
      <xdr:colOff>618577</xdr:colOff>
      <xdr:row>4</xdr:row>
      <xdr:rowOff>262758</xdr:rowOff>
    </xdr:from>
    <xdr:to>
      <xdr:col>5</xdr:col>
      <xdr:colOff>212834</xdr:colOff>
      <xdr:row>17</xdr:row>
      <xdr:rowOff>210207</xdr:rowOff>
    </xdr:to>
    <xdr:grpSp>
      <xdr:nvGrpSpPr>
        <xdr:cNvPr id="27" name="MonthsGrp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3581910" y="957025"/>
          <a:ext cx="2422124" cy="3884449"/>
          <a:chOff x="3497974" y="963448"/>
          <a:chExt cx="1586843" cy="3921673"/>
        </a:xfrm>
        <a:solidFill>
          <a:srgbClr val="874EA9">
            <a:alpha val="80000"/>
          </a:srgbClr>
        </a:solidFill>
      </xdr:grpSpPr>
      <xdr:sp macro="[0]!OdabirMeseca" textlink="">
        <xdr:nvSpPr>
          <xdr:cNvPr id="59" name="Januar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>
          <a:xfrm>
            <a:off x="3497974" y="963448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Januar</a:t>
            </a:r>
          </a:p>
        </xdr:txBody>
      </xdr:sp>
      <xdr:sp macro="[0]!OdabirMeseca" textlink="">
        <xdr:nvSpPr>
          <xdr:cNvPr id="60" name="Februar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3497974" y="1291896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Februar</a:t>
            </a:r>
          </a:p>
        </xdr:txBody>
      </xdr:sp>
      <xdr:sp macro="[0]!OdabirMeseca" textlink="">
        <xdr:nvSpPr>
          <xdr:cNvPr id="61" name="Mart" hidden="1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3502572" y="1619468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Mart</a:t>
            </a:r>
          </a:p>
        </xdr:txBody>
      </xdr:sp>
      <xdr:sp macro="[0]!OdabirMeseca" textlink="">
        <xdr:nvSpPr>
          <xdr:cNvPr id="62" name="April" hidden="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3501696" y="1947040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April</a:t>
            </a:r>
          </a:p>
        </xdr:txBody>
      </xdr:sp>
      <xdr:sp macro="[0]!OdabirMeseca" textlink="">
        <xdr:nvSpPr>
          <xdr:cNvPr id="63" name="Maj" hidden="1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3500820" y="2274612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Maj</a:t>
            </a:r>
          </a:p>
        </xdr:txBody>
      </xdr:sp>
      <xdr:sp macro="[0]!OdabirMeseca" textlink="">
        <xdr:nvSpPr>
          <xdr:cNvPr id="64" name="Jun" hidden="1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3499944" y="2602184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Jun</a:t>
            </a:r>
          </a:p>
        </xdr:txBody>
      </xdr:sp>
      <xdr:sp macro="[0]!OdabirMeseca" textlink="">
        <xdr:nvSpPr>
          <xdr:cNvPr id="65" name="Jul" hidden="1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/>
        </xdr:nvSpPr>
        <xdr:spPr>
          <a:xfrm>
            <a:off x="3499068" y="2929757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Jul</a:t>
            </a:r>
          </a:p>
        </xdr:txBody>
      </xdr:sp>
      <xdr:sp macro="[0]!OdabirMeseca" textlink="">
        <xdr:nvSpPr>
          <xdr:cNvPr id="67" name="Avgust" hidden="1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3498192" y="3257330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Avgust</a:t>
            </a:r>
          </a:p>
        </xdr:txBody>
      </xdr:sp>
      <xdr:sp macro="[0]!OdabirMeseca" textlink="">
        <xdr:nvSpPr>
          <xdr:cNvPr id="78" name="Septembar" hidden="1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>
            <a:off x="3508265" y="3595851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Septembar</a:t>
            </a:r>
          </a:p>
        </xdr:txBody>
      </xdr:sp>
      <xdr:sp macro="[0]!OdabirMeseca" textlink="">
        <xdr:nvSpPr>
          <xdr:cNvPr id="79" name="Oktobar" hidden="1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/>
        </xdr:nvSpPr>
        <xdr:spPr>
          <a:xfrm>
            <a:off x="3507389" y="3923424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Oktobar</a:t>
            </a:r>
          </a:p>
        </xdr:txBody>
      </xdr:sp>
      <xdr:sp macro="[0]!OdabirMeseca" textlink="">
        <xdr:nvSpPr>
          <xdr:cNvPr id="80" name="Novembar" hidden="1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/>
        </xdr:nvSpPr>
        <xdr:spPr>
          <a:xfrm>
            <a:off x="3506513" y="4250997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Novembar</a:t>
            </a:r>
          </a:p>
        </xdr:txBody>
      </xdr:sp>
      <xdr:sp macro="[0]!OdabirMeseca" textlink="">
        <xdr:nvSpPr>
          <xdr:cNvPr id="81" name="Decembar" hidden="1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3505637" y="4578569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Decembar</a:t>
            </a:r>
          </a:p>
        </xdr:txBody>
      </xdr:sp>
    </xdr:grpSp>
    <xdr:clientData/>
  </xdr:twoCellAnchor>
  <xdr:twoCellAnchor>
    <xdr:from>
      <xdr:col>10</xdr:col>
      <xdr:colOff>432127</xdr:colOff>
      <xdr:row>1</xdr:row>
      <xdr:rowOff>208014</xdr:rowOff>
    </xdr:from>
    <xdr:to>
      <xdr:col>12</xdr:col>
      <xdr:colOff>525514</xdr:colOff>
      <xdr:row>3</xdr:row>
      <xdr:rowOff>448876</xdr:rowOff>
    </xdr:to>
    <xdr:sp macro="" textlink="">
      <xdr:nvSpPr>
        <xdr:cNvPr id="16" name="Rounded Rectangle 1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2628506" y="208014"/>
          <a:ext cx="2162611" cy="470776"/>
        </a:xfrm>
        <a:prstGeom prst="roundRect">
          <a:avLst>
            <a:gd name="adj" fmla="val 32946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200">
              <a:latin typeface="Arial Black" panose="020B0A04020102020204" pitchFamily="34" charset="0"/>
            </a:rPr>
            <a:t>DODAJ NOVI TROŠAK</a:t>
          </a:r>
          <a:endParaRPr lang="en-US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1335690</xdr:colOff>
      <xdr:row>15</xdr:row>
      <xdr:rowOff>240862</xdr:rowOff>
    </xdr:from>
    <xdr:to>
      <xdr:col>8</xdr:col>
      <xdr:colOff>1116727</xdr:colOff>
      <xdr:row>31</xdr:row>
      <xdr:rowOff>240862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7" name="Chart 126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6890" y="4363282"/>
              <a:ext cx="3491977" cy="4023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26</xdr:row>
      <xdr:rowOff>0</xdr:rowOff>
    </xdr:from>
    <xdr:to>
      <xdr:col>4</xdr:col>
      <xdr:colOff>109483</xdr:colOff>
      <xdr:row>36</xdr:row>
      <xdr:rowOff>225097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1313793</xdr:colOff>
      <xdr:row>5</xdr:row>
      <xdr:rowOff>54741</xdr:rowOff>
    </xdr:from>
    <xdr:to>
      <xdr:col>8</xdr:col>
      <xdr:colOff>1072930</xdr:colOff>
      <xdr:row>15</xdr:row>
      <xdr:rowOff>120430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7104993" y="1019941"/>
          <a:ext cx="3476004" cy="3223756"/>
          <a:chOff x="6930259" y="1051034"/>
          <a:chExt cx="3361119" cy="3240689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90" name="Chart 89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GraphicFramePr/>
            </xdr:nvGraphicFramePr>
            <xdr:xfrm>
              <a:off x="6930259" y="1051034"/>
              <a:ext cx="3361119" cy="3240689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7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930259" y="1051034"/>
                <a:ext cx="3361119" cy="324068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sr-Cyrl-R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sp macro="" textlink="'Kalkulator troškova'!$C$21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057932" y="2310088"/>
            <a:ext cx="1215257" cy="7444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19ACFA5-922A-4C8B-BA31-A6B8D8C53D3A}" type="TxLink">
              <a:rPr lang="en-US" sz="2800" b="0" i="0" u="none" strike="noStrike">
                <a:solidFill>
                  <a:schemeClr val="accent1">
                    <a:lumMod val="75000"/>
                  </a:schemeClr>
                </a:solidFill>
                <a:latin typeface="Arial Black" panose="020B0A04020102020204" pitchFamily="34" charset="0"/>
                <a:cs typeface="Arial"/>
              </a:rPr>
              <a:pPr algn="ctr"/>
              <a:t>74%</a:t>
            </a:fld>
            <a:endParaRPr lang="en-US" sz="28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27</xdr:row>
      <xdr:rowOff>131378</xdr:rowOff>
    </xdr:from>
    <xdr:to>
      <xdr:col>5</xdr:col>
      <xdr:colOff>1302844</xdr:colOff>
      <xdr:row>30</xdr:row>
      <xdr:rowOff>43792</xdr:rowOff>
    </xdr:to>
    <xdr:sp macro="" textlink="'Kalkulator troškova'!H8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598276" y="7324395"/>
          <a:ext cx="2321034" cy="667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0AC118-B2AC-4B22-BFC9-28592FF8AE23}" type="TxLink">
            <a:rPr lang="en-US" sz="1800" b="1" i="0" u="none" strike="noStrike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  <a:latin typeface="Arial"/>
              <a:cs typeface="Arial"/>
            </a:rPr>
            <a:pPr algn="ctr"/>
            <a:t>Komunalne usluge </a:t>
          </a:fld>
          <a:endParaRPr lang="en-US" sz="40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G4:I19" totalsRowShown="0" headerRowDxfId="9" tableBorderDxfId="8" headerRowCellStyle="20% - Accent1">
  <tableColumns count="3">
    <tableColumn id="1" xr3:uid="{00000000-0010-0000-0000-000001000000}" name="Datum" dataDxfId="7"/>
    <tableColumn id="2" xr3:uid="{00000000-0010-0000-0000-000002000000}" name="Vrsta troška" dataDxfId="6"/>
    <tableColumn id="3" xr3:uid="{00000000-0010-0000-0000-000003000000}" name="Iznos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K5:K15" totalsRowShown="0" headerRowDxfId="5" dataDxfId="4">
  <tableColumns count="1">
    <tableColumn id="1" xr3:uid="{00000000-0010-0000-0100-000001000000}" name="VRSTE TROŠKOVA" dataDxfId="3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5"/>
  </sheetPr>
  <dimension ref="A1:S4"/>
  <sheetViews>
    <sheetView showGridLines="0" workbookViewId="0">
      <selection activeCell="H36" sqref="H36"/>
    </sheetView>
  </sheetViews>
  <sheetFormatPr defaultRowHeight="18" customHeight="1" x14ac:dyDescent="0.3"/>
  <cols>
    <col min="1" max="1" width="23" style="63" bestFit="1" customWidth="1"/>
  </cols>
  <sheetData>
    <row r="1" spans="1:19" ht="30.9" customHeight="1" x14ac:dyDescent="0.3">
      <c r="A1" s="64" t="s">
        <v>49</v>
      </c>
    </row>
    <row r="2" spans="1:19" ht="18" customHeight="1" x14ac:dyDescent="0.3">
      <c r="C2" s="116" t="s">
        <v>51</v>
      </c>
      <c r="D2" s="116"/>
      <c r="E2" s="116"/>
      <c r="F2" s="116"/>
      <c r="G2" s="116"/>
      <c r="H2" s="116"/>
      <c r="I2" s="116"/>
      <c r="J2" s="106"/>
      <c r="K2" s="106"/>
      <c r="L2" s="106"/>
      <c r="M2" s="106"/>
      <c r="N2" s="106"/>
      <c r="O2" s="106"/>
      <c r="P2" s="106"/>
      <c r="Q2" s="106"/>
      <c r="R2" s="106"/>
      <c r="S2" s="106"/>
    </row>
    <row r="3" spans="1:19" ht="18" customHeight="1" x14ac:dyDescent="0.3">
      <c r="C3" s="117"/>
      <c r="D3" s="117"/>
      <c r="E3" s="117"/>
      <c r="F3" s="117"/>
      <c r="G3" s="117"/>
      <c r="H3" s="117"/>
      <c r="I3" s="117"/>
      <c r="J3" s="114"/>
      <c r="K3" s="114"/>
      <c r="L3" s="114"/>
      <c r="M3" s="114"/>
      <c r="N3" s="114"/>
      <c r="O3" s="114"/>
      <c r="P3" s="114"/>
      <c r="Q3" s="114"/>
      <c r="R3" s="114"/>
      <c r="S3" s="114"/>
    </row>
    <row r="4" spans="1:19" ht="18" customHeight="1" x14ac:dyDescent="0.3">
      <c r="C4" s="107"/>
      <c r="D4" s="107"/>
      <c r="E4" s="107"/>
      <c r="F4" s="107"/>
      <c r="G4" s="107"/>
      <c r="H4" s="107"/>
    </row>
  </sheetData>
  <mergeCells count="1">
    <mergeCell ref="C2:I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-0.249977111117893"/>
  </sheetPr>
  <dimension ref="A1:K19"/>
  <sheetViews>
    <sheetView showGridLines="0" workbookViewId="0"/>
  </sheetViews>
  <sheetFormatPr defaultColWidth="9.109375" defaultRowHeight="17.399999999999999" x14ac:dyDescent="0.3"/>
  <cols>
    <col min="1" max="1" width="23" style="62" bestFit="1" customWidth="1"/>
    <col min="2" max="2" width="14.44140625" style="31" customWidth="1"/>
    <col min="3" max="6" width="9.109375" style="31"/>
    <col min="7" max="7" width="30" style="32" customWidth="1"/>
    <col min="8" max="8" width="26" style="31" customWidth="1"/>
    <col min="9" max="9" width="28.109375" style="34" customWidth="1"/>
    <col min="10" max="10" width="9.109375" style="31"/>
    <col min="11" max="11" width="22.88671875" style="31" customWidth="1"/>
    <col min="12" max="16384" width="9.109375" style="31"/>
  </cols>
  <sheetData>
    <row r="1" spans="1:11" ht="30.9" customHeight="1" x14ac:dyDescent="0.3">
      <c r="A1" s="64" t="s">
        <v>49</v>
      </c>
      <c r="I1" s="33"/>
    </row>
    <row r="2" spans="1:11" x14ac:dyDescent="0.3">
      <c r="G2" s="118" t="s">
        <v>34</v>
      </c>
      <c r="H2" s="118"/>
      <c r="I2" s="118"/>
    </row>
    <row r="3" spans="1:11" x14ac:dyDescent="0.3">
      <c r="G3" s="118"/>
      <c r="H3" s="118"/>
      <c r="I3" s="118"/>
    </row>
    <row r="4" spans="1:11" ht="24" customHeight="1" thickBot="1" x14ac:dyDescent="0.35">
      <c r="G4" s="49" t="s">
        <v>0</v>
      </c>
      <c r="H4" s="50" t="s">
        <v>57</v>
      </c>
      <c r="I4" s="51" t="s">
        <v>28</v>
      </c>
    </row>
    <row r="5" spans="1:11" ht="18" thickTop="1" x14ac:dyDescent="0.3">
      <c r="G5" s="46">
        <v>43841</v>
      </c>
      <c r="H5" s="47" t="s">
        <v>2</v>
      </c>
      <c r="I5" s="48">
        <v>5690</v>
      </c>
      <c r="K5" s="25" t="s">
        <v>52</v>
      </c>
    </row>
    <row r="6" spans="1:11" x14ac:dyDescent="0.3">
      <c r="G6" s="67">
        <v>43842</v>
      </c>
      <c r="H6" s="68" t="s">
        <v>22</v>
      </c>
      <c r="I6" s="69">
        <v>35000</v>
      </c>
      <c r="K6" s="66" t="s">
        <v>53</v>
      </c>
    </row>
    <row r="7" spans="1:11" x14ac:dyDescent="0.3">
      <c r="G7" s="67">
        <v>44069</v>
      </c>
      <c r="H7" s="68" t="s">
        <v>24</v>
      </c>
      <c r="I7" s="69">
        <v>12850</v>
      </c>
      <c r="K7" s="66" t="s">
        <v>54</v>
      </c>
    </row>
    <row r="8" spans="1:11" x14ac:dyDescent="0.3">
      <c r="G8" s="67">
        <v>44059</v>
      </c>
      <c r="H8" s="68" t="s">
        <v>22</v>
      </c>
      <c r="I8" s="69">
        <v>4500</v>
      </c>
      <c r="K8" s="66" t="s">
        <v>21</v>
      </c>
    </row>
    <row r="9" spans="1:11" x14ac:dyDescent="0.3">
      <c r="G9" s="67">
        <v>44052</v>
      </c>
      <c r="H9" s="68" t="s">
        <v>1</v>
      </c>
      <c r="I9" s="69">
        <v>1614</v>
      </c>
      <c r="K9" s="66" t="s">
        <v>2</v>
      </c>
    </row>
    <row r="10" spans="1:11" x14ac:dyDescent="0.3">
      <c r="G10" s="67">
        <v>44053</v>
      </c>
      <c r="H10" s="68" t="s">
        <v>23</v>
      </c>
      <c r="I10" s="69">
        <v>8560</v>
      </c>
      <c r="K10" s="66" t="s">
        <v>22</v>
      </c>
    </row>
    <row r="11" spans="1:11" x14ac:dyDescent="0.3">
      <c r="G11" s="67">
        <v>44197</v>
      </c>
      <c r="H11" s="68" t="s">
        <v>2</v>
      </c>
      <c r="I11" s="69">
        <v>14600</v>
      </c>
      <c r="K11" s="66" t="s">
        <v>1</v>
      </c>
    </row>
    <row r="12" spans="1:11" x14ac:dyDescent="0.3">
      <c r="G12" s="67">
        <v>44206</v>
      </c>
      <c r="H12" s="68" t="s">
        <v>21</v>
      </c>
      <c r="I12" s="69">
        <v>5000</v>
      </c>
      <c r="K12" s="66" t="s">
        <v>24</v>
      </c>
    </row>
    <row r="13" spans="1:11" x14ac:dyDescent="0.3">
      <c r="G13" s="67">
        <v>44061</v>
      </c>
      <c r="H13" s="68" t="s">
        <v>56</v>
      </c>
      <c r="I13" s="69">
        <v>11450</v>
      </c>
      <c r="K13" s="66" t="s">
        <v>26</v>
      </c>
    </row>
    <row r="14" spans="1:11" x14ac:dyDescent="0.3">
      <c r="G14" s="67">
        <v>44208</v>
      </c>
      <c r="H14" s="68" t="s">
        <v>26</v>
      </c>
      <c r="I14" s="69">
        <v>5764</v>
      </c>
      <c r="K14" s="66" t="s">
        <v>23</v>
      </c>
    </row>
    <row r="15" spans="1:11" x14ac:dyDescent="0.3">
      <c r="G15" s="67">
        <v>44217</v>
      </c>
      <c r="H15" s="68" t="s">
        <v>25</v>
      </c>
      <c r="I15" s="69">
        <v>7500</v>
      </c>
      <c r="K15" s="66" t="s">
        <v>25</v>
      </c>
    </row>
    <row r="16" spans="1:11" x14ac:dyDescent="0.3">
      <c r="G16" s="67">
        <v>44219</v>
      </c>
      <c r="H16" s="68" t="s">
        <v>1</v>
      </c>
      <c r="I16" s="69">
        <v>1614</v>
      </c>
    </row>
    <row r="17" spans="7:9" x14ac:dyDescent="0.3">
      <c r="G17" s="32">
        <v>44220</v>
      </c>
      <c r="H17" s="31" t="s">
        <v>23</v>
      </c>
      <c r="I17" s="34">
        <v>5300</v>
      </c>
    </row>
    <row r="18" spans="7:9" x14ac:dyDescent="0.3">
      <c r="G18" s="32">
        <v>44222</v>
      </c>
      <c r="H18" s="31" t="s">
        <v>56</v>
      </c>
      <c r="I18" s="34">
        <v>16540</v>
      </c>
    </row>
    <row r="19" spans="7:9" x14ac:dyDescent="0.3">
      <c r="G19" s="32">
        <v>44224</v>
      </c>
      <c r="H19" s="31" t="s">
        <v>22</v>
      </c>
      <c r="I19" s="34">
        <v>6890</v>
      </c>
    </row>
  </sheetData>
  <mergeCells count="1">
    <mergeCell ref="G2:I3"/>
  </mergeCells>
  <dataValidations count="1">
    <dataValidation type="list" allowBlank="1" showInputMessage="1" showErrorMessage="1" sqref="H5:H19" xr:uid="{00000000-0002-0000-0100-000000000000}">
      <formula1>$K$6:$K$15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B1:U29"/>
  <sheetViews>
    <sheetView showGridLines="0" tabSelected="1" topLeftCell="A2" zoomScale="90" zoomScaleNormal="90" workbookViewId="0">
      <selection activeCell="G51" sqref="G51"/>
    </sheetView>
  </sheetViews>
  <sheetFormatPr defaultColWidth="9.109375" defaultRowHeight="20.100000000000001" customHeight="1" x14ac:dyDescent="0.3"/>
  <cols>
    <col min="1" max="1" width="1.33203125" style="4" customWidth="1"/>
    <col min="2" max="2" width="23" style="4" bestFit="1" customWidth="1"/>
    <col min="3" max="3" width="18.88671875" style="4" bestFit="1" customWidth="1"/>
    <col min="4" max="4" width="25.88671875" style="4" customWidth="1"/>
    <col min="5" max="5" width="15.33203125" style="4" customWidth="1"/>
    <col min="6" max="6" width="20.44140625" style="4" customWidth="1"/>
    <col min="7" max="7" width="15" style="4" customWidth="1"/>
    <col min="8" max="8" width="18.6640625" style="4" customWidth="1"/>
    <col min="9" max="9" width="19.44140625" style="4" customWidth="1"/>
    <col min="10" max="10" width="27.44140625" style="4" bestFit="1" customWidth="1"/>
    <col min="11" max="11" width="11.109375" style="4" customWidth="1"/>
    <col min="12" max="12" width="19.88671875" style="4" customWidth="1"/>
    <col min="13" max="13" width="13.6640625" style="4" customWidth="1"/>
    <col min="14" max="14" width="11" style="4" customWidth="1"/>
    <col min="15" max="15" width="2.33203125" style="4" customWidth="1"/>
    <col min="16" max="16" width="12" style="4" customWidth="1"/>
    <col min="17" max="17" width="2.6640625" style="4" customWidth="1"/>
    <col min="18" max="18" width="15.6640625" style="4" customWidth="1"/>
    <col min="19" max="19" width="11" style="4" customWidth="1"/>
    <col min="20" max="16384" width="9.109375" style="4"/>
  </cols>
  <sheetData>
    <row r="1" spans="2:21" ht="18" hidden="1" customHeight="1" x14ac:dyDescent="0.3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2"/>
      <c r="S1" s="2"/>
    </row>
    <row r="2" spans="2:21" ht="18" customHeight="1" thickBot="1" x14ac:dyDescent="0.35">
      <c r="B2" s="19"/>
      <c r="C2" s="19"/>
      <c r="D2" s="19"/>
      <c r="E2" s="19"/>
      <c r="F2" s="19"/>
      <c r="G2" s="20"/>
      <c r="H2" s="20"/>
      <c r="I2" s="18"/>
      <c r="J2" s="18"/>
      <c r="K2" s="18"/>
      <c r="L2" s="18"/>
      <c r="M2" s="18"/>
      <c r="N2" s="70"/>
      <c r="O2" s="71"/>
      <c r="P2" s="72"/>
      <c r="Q2" s="72"/>
      <c r="R2" s="45"/>
      <c r="S2" s="45"/>
      <c r="T2" s="45"/>
      <c r="U2" s="45"/>
    </row>
    <row r="3" spans="2:21" ht="18" hidden="1" customHeight="1" x14ac:dyDescent="0.3">
      <c r="B3" s="19"/>
      <c r="C3" s="19"/>
      <c r="D3" s="19"/>
      <c r="E3" s="19"/>
      <c r="F3" s="19"/>
      <c r="G3" s="20" t="s">
        <v>7</v>
      </c>
      <c r="H3" s="20"/>
      <c r="I3" s="18" t="s">
        <v>8</v>
      </c>
      <c r="J3" s="18" t="s">
        <v>6</v>
      </c>
      <c r="K3" s="18" t="s">
        <v>9</v>
      </c>
      <c r="L3" s="18" t="s">
        <v>10</v>
      </c>
      <c r="M3" s="18" t="s">
        <v>11</v>
      </c>
      <c r="N3" s="70"/>
      <c r="O3" s="70"/>
      <c r="P3" s="45"/>
      <c r="Q3" s="45"/>
      <c r="R3" s="45" t="s">
        <v>16</v>
      </c>
      <c r="S3" s="45" t="s">
        <v>17</v>
      </c>
      <c r="T3" s="45"/>
      <c r="U3" s="45"/>
    </row>
    <row r="4" spans="2:21" ht="36.75" customHeight="1" thickTop="1" thickBot="1" x14ac:dyDescent="0.35">
      <c r="B4" s="21" t="s">
        <v>18</v>
      </c>
      <c r="C4" s="21" t="s">
        <v>3</v>
      </c>
      <c r="D4" s="22" t="s">
        <v>4</v>
      </c>
      <c r="E4" s="22" t="s">
        <v>5</v>
      </c>
      <c r="F4" s="22"/>
      <c r="G4" s="20"/>
      <c r="H4" s="20"/>
      <c r="I4" s="18"/>
      <c r="J4" s="100">
        <v>85000</v>
      </c>
      <c r="K4" s="18"/>
      <c r="L4" s="18"/>
      <c r="M4" s="18"/>
      <c r="N4" s="70"/>
      <c r="O4" s="70"/>
      <c r="P4" s="45"/>
      <c r="Q4" s="45"/>
      <c r="R4" s="45"/>
      <c r="S4" s="45"/>
      <c r="T4" s="45"/>
      <c r="U4" s="45"/>
    </row>
    <row r="5" spans="2:21" ht="21.6" thickTop="1" x14ac:dyDescent="0.3">
      <c r="B5" s="59" t="s">
        <v>18</v>
      </c>
      <c r="C5" s="60">
        <v>2021</v>
      </c>
      <c r="D5" s="99" t="s">
        <v>48</v>
      </c>
      <c r="E5" s="61" t="s">
        <v>35</v>
      </c>
      <c r="F5" s="58"/>
      <c r="G5" s="23"/>
      <c r="H5" s="23"/>
      <c r="I5" s="20">
        <v>2020</v>
      </c>
      <c r="J5" s="20">
        <v>2021</v>
      </c>
      <c r="K5" s="20">
        <v>2022</v>
      </c>
      <c r="L5" s="20">
        <v>2023</v>
      </c>
      <c r="M5" s="20">
        <v>2024</v>
      </c>
      <c r="N5" s="73"/>
      <c r="O5" s="73"/>
      <c r="P5" s="45"/>
      <c r="Q5" s="45"/>
      <c r="R5" s="45"/>
      <c r="S5" s="45"/>
      <c r="T5" s="45"/>
      <c r="U5" s="45"/>
    </row>
    <row r="6" spans="2:21" ht="6" customHeight="1" x14ac:dyDescent="0.3">
      <c r="B6" s="15"/>
      <c r="C6" s="15"/>
      <c r="D6" s="16"/>
      <c r="E6" s="17"/>
      <c r="F6" s="17"/>
      <c r="G6" s="5"/>
      <c r="H6" s="5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21" ht="27" customHeight="1" x14ac:dyDescent="0.3">
      <c r="B7" s="53"/>
      <c r="D7" s="5"/>
      <c r="E7" s="5"/>
      <c r="F7" s="5"/>
      <c r="G7" s="5"/>
      <c r="H7" s="5"/>
      <c r="I7" s="24"/>
      <c r="J7" s="119"/>
      <c r="K7" s="119"/>
      <c r="L7" s="119"/>
      <c r="M7" s="119"/>
      <c r="N7" s="24"/>
      <c r="O7" s="24"/>
      <c r="P7" s="24"/>
      <c r="Q7" s="24"/>
      <c r="R7" s="24"/>
      <c r="S7" s="24"/>
    </row>
    <row r="8" spans="2:21" ht="24" customHeight="1" x14ac:dyDescent="0.3">
      <c r="B8" s="54"/>
      <c r="D8" s="5"/>
      <c r="E8" s="5"/>
      <c r="F8" s="5"/>
      <c r="G8" s="5"/>
      <c r="H8" s="5"/>
      <c r="I8" s="24"/>
      <c r="J8" s="24"/>
      <c r="K8" s="24"/>
      <c r="L8" s="25"/>
      <c r="M8" s="25"/>
      <c r="N8" s="24"/>
      <c r="O8" s="24"/>
      <c r="P8" s="24"/>
      <c r="Q8" s="24"/>
      <c r="R8" s="24"/>
      <c r="S8" s="24"/>
    </row>
    <row r="9" spans="2:21" ht="27.75" customHeight="1" x14ac:dyDescent="0.3">
      <c r="B9" s="53"/>
      <c r="D9" s="5"/>
      <c r="E9" s="6"/>
      <c r="F9" s="6"/>
      <c r="G9" s="7"/>
      <c r="H9" s="7"/>
      <c r="J9" s="26"/>
      <c r="K9" s="24"/>
      <c r="L9" s="25"/>
      <c r="M9" s="27"/>
      <c r="N9" s="24"/>
      <c r="O9" s="24"/>
      <c r="P9" s="24"/>
      <c r="Q9" s="28"/>
      <c r="R9" s="29"/>
      <c r="S9" s="24"/>
    </row>
    <row r="10" spans="2:21" ht="24" customHeight="1" x14ac:dyDescent="0.3">
      <c r="B10" s="54"/>
      <c r="D10" s="5"/>
      <c r="E10" s="6"/>
      <c r="F10" s="6"/>
      <c r="G10" s="10"/>
      <c r="H10" s="10"/>
      <c r="L10" s="5"/>
      <c r="M10" s="27"/>
      <c r="Q10" s="9"/>
      <c r="R10" s="11"/>
    </row>
    <row r="11" spans="2:21" ht="36" customHeight="1" x14ac:dyDescent="0.3">
      <c r="B11" s="55"/>
      <c r="D11" s="5"/>
      <c r="E11" s="5"/>
      <c r="F11" s="5"/>
      <c r="G11" s="5"/>
      <c r="H11" s="5"/>
      <c r="L11" s="5"/>
      <c r="M11" s="27"/>
    </row>
    <row r="12" spans="2:21" ht="29.25" customHeight="1" x14ac:dyDescent="0.3">
      <c r="B12" s="56"/>
      <c r="D12" s="5"/>
      <c r="E12" s="5"/>
      <c r="F12" s="5"/>
      <c r="G12" s="8"/>
      <c r="H12" s="8"/>
      <c r="L12" s="5"/>
      <c r="M12" s="27"/>
      <c r="R12" s="12"/>
    </row>
    <row r="13" spans="2:21" ht="36" customHeight="1" x14ac:dyDescent="0.3">
      <c r="B13" s="55"/>
      <c r="D13" s="5"/>
      <c r="E13" s="5"/>
      <c r="F13" s="5"/>
      <c r="G13" s="8"/>
      <c r="H13" s="8"/>
      <c r="I13" s="13"/>
      <c r="L13" s="5"/>
      <c r="M13" s="27"/>
      <c r="R13" s="12"/>
    </row>
    <row r="14" spans="2:21" ht="32.25" customHeight="1" x14ac:dyDescent="0.3">
      <c r="B14" s="57"/>
      <c r="D14" s="5"/>
      <c r="E14" s="5"/>
      <c r="F14" s="5"/>
      <c r="G14" s="8"/>
      <c r="H14" s="8"/>
      <c r="L14" s="5"/>
      <c r="M14" s="27"/>
      <c r="R14" s="12"/>
    </row>
    <row r="15" spans="2:21" ht="7.5" customHeight="1" x14ac:dyDescent="0.3">
      <c r="B15" s="42"/>
      <c r="C15" s="42"/>
      <c r="D15" s="42"/>
      <c r="E15" s="5"/>
      <c r="F15" s="5"/>
      <c r="G15" s="8"/>
      <c r="H15" s="8"/>
      <c r="L15" s="14"/>
      <c r="M15" s="8"/>
      <c r="R15" s="12"/>
    </row>
    <row r="16" spans="2:21" ht="20.100000000000001" customHeight="1" x14ac:dyDescent="0.3">
      <c r="B16" s="120" t="s">
        <v>60</v>
      </c>
      <c r="C16" s="120"/>
      <c r="D16" s="120"/>
      <c r="E16" s="5"/>
      <c r="F16" s="5"/>
      <c r="G16" s="12"/>
      <c r="H16" s="12"/>
      <c r="R16" s="12"/>
    </row>
    <row r="17" spans="2:8" ht="20.100000000000001" customHeight="1" x14ac:dyDescent="0.3">
      <c r="B17" s="43" t="s">
        <v>30</v>
      </c>
      <c r="C17" s="44">
        <f ca="1">+'Kalkulator troškova'!C3</f>
        <v>0</v>
      </c>
      <c r="D17" s="36">
        <f ca="1">C17</f>
        <v>0</v>
      </c>
    </row>
    <row r="18" spans="2:8" ht="20.100000000000001" customHeight="1" x14ac:dyDescent="0.3">
      <c r="B18" s="43" t="s">
        <v>31</v>
      </c>
      <c r="C18" s="44">
        <f ca="1">+'Kalkulator troškova'!C4</f>
        <v>16540</v>
      </c>
      <c r="D18" s="36">
        <f t="shared" ref="D18:D26" ca="1" si="0">C18</f>
        <v>16540</v>
      </c>
    </row>
    <row r="19" spans="2:8" ht="20.100000000000001" customHeight="1" x14ac:dyDescent="0.3">
      <c r="B19" s="43" t="s">
        <v>21</v>
      </c>
      <c r="C19" s="44">
        <f ca="1">+'Kalkulator troškova'!C5</f>
        <v>5000</v>
      </c>
      <c r="D19" s="36">
        <f t="shared" ca="1" si="0"/>
        <v>5000</v>
      </c>
    </row>
    <row r="20" spans="2:8" ht="20.100000000000001" customHeight="1" x14ac:dyDescent="0.3">
      <c r="B20" s="43" t="s">
        <v>22</v>
      </c>
      <c r="C20" s="44">
        <f ca="1">+'Kalkulator troškova'!C6</f>
        <v>6890</v>
      </c>
      <c r="D20" s="36">
        <f t="shared" ca="1" si="0"/>
        <v>6890</v>
      </c>
      <c r="H20" s="5"/>
    </row>
    <row r="21" spans="2:8" ht="20.100000000000001" customHeight="1" x14ac:dyDescent="0.3">
      <c r="B21" s="43" t="s">
        <v>2</v>
      </c>
      <c r="C21" s="44">
        <f ca="1">+'Kalkulator troškova'!C7</f>
        <v>14600</v>
      </c>
      <c r="D21" s="36">
        <f t="shared" ca="1" si="0"/>
        <v>14600</v>
      </c>
    </row>
    <row r="22" spans="2:8" ht="20.100000000000001" customHeight="1" x14ac:dyDescent="0.3">
      <c r="B22" s="43" t="s">
        <v>23</v>
      </c>
      <c r="C22" s="44">
        <f ca="1">+'Kalkulator troškova'!C8</f>
        <v>5300</v>
      </c>
      <c r="D22" s="36">
        <f t="shared" ca="1" si="0"/>
        <v>5300</v>
      </c>
    </row>
    <row r="23" spans="2:8" ht="20.100000000000001" customHeight="1" x14ac:dyDescent="0.3">
      <c r="B23" s="43" t="s">
        <v>1</v>
      </c>
      <c r="C23" s="44">
        <f ca="1">+'Kalkulator troškova'!C9</f>
        <v>1614</v>
      </c>
      <c r="D23" s="36">
        <f t="shared" ca="1" si="0"/>
        <v>1614</v>
      </c>
    </row>
    <row r="24" spans="2:8" ht="20.100000000000001" customHeight="1" x14ac:dyDescent="0.3">
      <c r="B24" s="43" t="s">
        <v>24</v>
      </c>
      <c r="C24" s="44">
        <f ca="1">+'Kalkulator troškova'!C10</f>
        <v>0</v>
      </c>
      <c r="D24" s="36">
        <f t="shared" ca="1" si="0"/>
        <v>0</v>
      </c>
    </row>
    <row r="25" spans="2:8" ht="20.100000000000001" customHeight="1" x14ac:dyDescent="0.3">
      <c r="B25" s="43" t="s">
        <v>25</v>
      </c>
      <c r="C25" s="44">
        <f ca="1">+'Kalkulator troškova'!C11</f>
        <v>7500</v>
      </c>
      <c r="D25" s="36">
        <f t="shared" ca="1" si="0"/>
        <v>7500</v>
      </c>
    </row>
    <row r="26" spans="2:8" ht="20.100000000000001" customHeight="1" x14ac:dyDescent="0.3">
      <c r="B26" s="43" t="s">
        <v>26</v>
      </c>
      <c r="C26" s="44">
        <f ca="1">+'Kalkulator troškova'!C12</f>
        <v>5764</v>
      </c>
      <c r="D26" s="36">
        <f t="shared" ca="1" si="0"/>
        <v>5764</v>
      </c>
    </row>
    <row r="29" spans="2:8" ht="20.100000000000001" customHeight="1" x14ac:dyDescent="0.3">
      <c r="B29" s="30"/>
    </row>
  </sheetData>
  <mergeCells count="2">
    <mergeCell ref="J7:M7"/>
    <mergeCell ref="B16:D16"/>
  </mergeCells>
  <conditionalFormatting sqref="M15">
    <cfRule type="cellIs" dxfId="2" priority="11" operator="lessThan">
      <formula>0</formula>
    </cfRule>
  </conditionalFormatting>
  <conditionalFormatting sqref="B7">
    <cfRule type="cellIs" dxfId="1" priority="9" operator="equal">
      <formula>"IZABERI GODINU"</formula>
    </cfRule>
    <cfRule type="colorScale" priority="10">
      <colorScale>
        <cfvo type="min"/>
        <cfvo type="percentile" val="50"/>
        <cfvo type="max"/>
        <color theme="4" tint="-0.499984740745262"/>
        <color theme="4" tint="-0.249977111117893"/>
        <color theme="4" tint="-0.499984740745262"/>
      </colorScale>
    </cfRule>
  </conditionalFormatting>
  <conditionalFormatting sqref="B9">
    <cfRule type="cellIs" dxfId="0" priority="8" operator="equal">
      <formula>"IZABERI MESEC"</formula>
    </cfRule>
  </conditionalFormatting>
  <conditionalFormatting sqref="D17:D26">
    <cfRule type="dataBar" priority="1">
      <dataBar showValue="0">
        <cfvo type="min"/>
        <cfvo type="max"/>
        <color theme="8"/>
      </dataBar>
      <extLst>
        <ext xmlns:x14="http://schemas.microsoft.com/office/spreadsheetml/2009/9/main" uri="{B025F937-C7B1-47D3-B67F-A62EFF666E3E}">
          <x14:id>{646A441B-A378-4B19-B22F-21D848349161}</x14:id>
        </ext>
      </extLst>
    </cfRule>
  </conditionalFormatting>
  <dataValidations disablePrompts="1" count="2">
    <dataValidation type="list" allowBlank="1" showInputMessage="1" showErrorMessage="1" sqref="G7:H7 R7" xr:uid="{00000000-0002-0000-0200-000000000000}">
      <formula1>#REF!</formula1>
    </dataValidation>
    <dataValidation type="list" allowBlank="1" showInputMessage="1" showErrorMessage="1" sqref="R8 C6" xr:uid="{00000000-0002-0000-0200-000001000000}">
      <formula1>$G$3:$S$3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6A441B-A378-4B19-B22F-21D8483491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D17:D26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7" tint="0.39997558519241921"/>
  </sheetPr>
  <dimension ref="A1:R31"/>
  <sheetViews>
    <sheetView showGridLines="0" workbookViewId="0">
      <selection activeCell="D30" sqref="D30"/>
    </sheetView>
  </sheetViews>
  <sheetFormatPr defaultColWidth="9.109375" defaultRowHeight="13.8" x14ac:dyDescent="0.3"/>
  <cols>
    <col min="1" max="1" width="9.109375" style="37"/>
    <col min="2" max="2" width="35.88671875" style="37" bestFit="1" customWidth="1"/>
    <col min="3" max="4" width="18.109375" style="37" customWidth="1"/>
    <col min="5" max="5" width="14" style="37" bestFit="1" customWidth="1"/>
    <col min="6" max="6" width="20.33203125" style="37" bestFit="1" customWidth="1"/>
    <col min="7" max="7" width="38.88671875" style="37" bestFit="1" customWidth="1"/>
    <col min="8" max="8" width="20.6640625" style="37" bestFit="1" customWidth="1"/>
    <col min="9" max="9" width="14.109375" style="37" bestFit="1" customWidth="1"/>
    <col min="10" max="10" width="15.109375" style="37" bestFit="1" customWidth="1"/>
    <col min="11" max="11" width="7.33203125" style="37" bestFit="1" customWidth="1"/>
    <col min="12" max="12" width="9.109375" style="37"/>
    <col min="13" max="13" width="9.44140625" style="37" bestFit="1" customWidth="1"/>
    <col min="14" max="16384" width="9.109375" style="37"/>
  </cols>
  <sheetData>
    <row r="1" spans="1:18" ht="14.4" thickBot="1" x14ac:dyDescent="0.35">
      <c r="G1" s="38"/>
      <c r="H1" s="38"/>
      <c r="K1" s="38">
        <v>2024</v>
      </c>
      <c r="L1" s="38">
        <v>2025</v>
      </c>
      <c r="M1" s="38"/>
      <c r="N1" s="38"/>
      <c r="O1" s="38"/>
      <c r="P1" s="38"/>
      <c r="Q1" s="38"/>
      <c r="R1" s="38"/>
    </row>
    <row r="2" spans="1:18" ht="15" thickTop="1" thickBot="1" x14ac:dyDescent="0.35">
      <c r="B2" s="87" t="s">
        <v>27</v>
      </c>
      <c r="C2" s="115" t="s">
        <v>28</v>
      </c>
      <c r="D2" s="35"/>
      <c r="E2" s="87" t="s">
        <v>36</v>
      </c>
      <c r="G2" s="88" t="s">
        <v>50</v>
      </c>
      <c r="H2" s="108">
        <f>IFERROR(MATCH(Dashboard!E5,Meseci,0),"")</f>
        <v>1</v>
      </c>
      <c r="I2" s="25"/>
      <c r="J2" s="35"/>
      <c r="K2" s="38"/>
      <c r="L2" s="38"/>
      <c r="M2" s="38"/>
      <c r="N2" s="38"/>
      <c r="O2" s="38"/>
      <c r="P2" s="38"/>
      <c r="Q2" s="38"/>
      <c r="R2" s="38"/>
    </row>
    <row r="3" spans="1:18" ht="15.6" thickTop="1" thickBot="1" x14ac:dyDescent="0.35">
      <c r="B3" s="92" t="s">
        <v>19</v>
      </c>
      <c r="C3" s="89">
        <f t="shared" ref="C3:C12" ca="1" si="0">SUMIFS(IznosTroska,DatumTroska,"&gt;="&amp;DATE(IzabranaGodina,IzabraniMesec,1),DatumTroska,"&lt;="&amp;EOMONTH(DATE(IzabranaGodina,IzabraniMesec,1),0),KategorijaTroska,B3)</f>
        <v>0</v>
      </c>
      <c r="D3" s="35"/>
      <c r="E3" s="86" t="s">
        <v>35</v>
      </c>
      <c r="G3" s="38"/>
      <c r="H3" s="109"/>
      <c r="I3" s="5"/>
      <c r="J3" s="35"/>
      <c r="K3" s="38" t="s">
        <v>10</v>
      </c>
      <c r="L3" s="38" t="s">
        <v>11</v>
      </c>
      <c r="M3" s="38" t="s">
        <v>12</v>
      </c>
      <c r="N3" s="38" t="s">
        <v>13</v>
      </c>
      <c r="O3" s="38" t="s">
        <v>14</v>
      </c>
      <c r="P3" s="38" t="s">
        <v>15</v>
      </c>
      <c r="Q3" s="38" t="s">
        <v>16</v>
      </c>
      <c r="R3" s="38" t="s">
        <v>17</v>
      </c>
    </row>
    <row r="4" spans="1:18" ht="15.6" thickTop="1" thickBot="1" x14ac:dyDescent="0.35">
      <c r="B4" s="93" t="s">
        <v>20</v>
      </c>
      <c r="C4" s="90">
        <f t="shared" ca="1" si="0"/>
        <v>16540</v>
      </c>
      <c r="D4" s="35"/>
      <c r="E4" s="83" t="s">
        <v>37</v>
      </c>
      <c r="G4" s="102" t="s">
        <v>3</v>
      </c>
      <c r="H4" s="110" t="str">
        <f>Dashboard!$E$5</f>
        <v>Januar</v>
      </c>
      <c r="I4" s="5"/>
      <c r="J4" s="35"/>
    </row>
    <row r="5" spans="1:18" ht="15.6" thickTop="1" thickBot="1" x14ac:dyDescent="0.35">
      <c r="B5" s="94" t="s">
        <v>21</v>
      </c>
      <c r="C5" s="91">
        <f t="shared" ca="1" si="0"/>
        <v>5000</v>
      </c>
      <c r="D5" s="35"/>
      <c r="E5" s="84" t="s">
        <v>38</v>
      </c>
      <c r="G5" s="38"/>
      <c r="I5" s="5"/>
      <c r="J5" s="35"/>
    </row>
    <row r="6" spans="1:18" ht="15.6" thickTop="1" thickBot="1" x14ac:dyDescent="0.35">
      <c r="B6" s="93" t="s">
        <v>22</v>
      </c>
      <c r="C6" s="90">
        <f t="shared" ca="1" si="0"/>
        <v>6890</v>
      </c>
      <c r="D6" s="35"/>
      <c r="E6" s="83" t="s">
        <v>39</v>
      </c>
      <c r="G6" s="104" t="s">
        <v>59</v>
      </c>
      <c r="H6" s="103">
        <f ca="1">MAX(C3:C12)</f>
        <v>16540</v>
      </c>
      <c r="I6" s="5"/>
      <c r="J6" s="35"/>
    </row>
    <row r="7" spans="1:18" ht="15.6" thickTop="1" thickBot="1" x14ac:dyDescent="0.35">
      <c r="B7" s="94" t="s">
        <v>2</v>
      </c>
      <c r="C7" s="91">
        <f t="shared" ca="1" si="0"/>
        <v>14600</v>
      </c>
      <c r="D7" s="35"/>
      <c r="E7" s="84" t="s">
        <v>40</v>
      </c>
      <c r="G7" s="38"/>
    </row>
    <row r="8" spans="1:18" ht="15.6" thickTop="1" thickBot="1" x14ac:dyDescent="0.35">
      <c r="A8" s="39"/>
      <c r="B8" s="93" t="s">
        <v>23</v>
      </c>
      <c r="C8" s="90">
        <f t="shared" ca="1" si="0"/>
        <v>5300</v>
      </c>
      <c r="D8" s="35"/>
      <c r="E8" s="83" t="s">
        <v>41</v>
      </c>
      <c r="G8" s="104" t="s">
        <v>58</v>
      </c>
      <c r="H8" s="105" t="str">
        <f ca="1">INDEX(Vrste_troškova,MATCH(H6,C3:C12,0))</f>
        <v xml:space="preserve">Komunalne usluge </v>
      </c>
    </row>
    <row r="9" spans="1:18" ht="15" thickTop="1" x14ac:dyDescent="0.3">
      <c r="B9" s="94" t="s">
        <v>1</v>
      </c>
      <c r="C9" s="91">
        <f t="shared" ca="1" si="0"/>
        <v>1614</v>
      </c>
      <c r="D9" s="35"/>
      <c r="E9" s="84" t="s">
        <v>42</v>
      </c>
      <c r="G9" s="38"/>
    </row>
    <row r="10" spans="1:18" ht="14.4" x14ac:dyDescent="0.3">
      <c r="B10" s="93" t="s">
        <v>24</v>
      </c>
      <c r="C10" s="90">
        <f t="shared" ca="1" si="0"/>
        <v>0</v>
      </c>
      <c r="D10" s="35"/>
      <c r="E10" s="83" t="s">
        <v>43</v>
      </c>
      <c r="G10" s="101"/>
    </row>
    <row r="11" spans="1:18" ht="14.4" x14ac:dyDescent="0.3">
      <c r="B11" s="94" t="s">
        <v>25</v>
      </c>
      <c r="C11" s="91">
        <f t="shared" ca="1" si="0"/>
        <v>7500</v>
      </c>
      <c r="D11" s="35"/>
      <c r="E11" s="84" t="s">
        <v>44</v>
      </c>
      <c r="G11" s="38"/>
    </row>
    <row r="12" spans="1:18" ht="15" thickBot="1" x14ac:dyDescent="0.35">
      <c r="B12" s="93" t="s">
        <v>26</v>
      </c>
      <c r="C12" s="90">
        <f t="shared" ca="1" si="0"/>
        <v>5764</v>
      </c>
      <c r="D12" s="35"/>
      <c r="E12" s="83" t="s">
        <v>45</v>
      </c>
      <c r="G12" s="38"/>
    </row>
    <row r="13" spans="1:18" ht="14.4" thickTop="1" x14ac:dyDescent="0.3">
      <c r="B13" s="95" t="s">
        <v>33</v>
      </c>
      <c r="C13" s="96">
        <f ca="1">SUM(C3:C12)</f>
        <v>63208</v>
      </c>
      <c r="D13" s="52"/>
      <c r="E13" s="84" t="s">
        <v>46</v>
      </c>
    </row>
    <row r="14" spans="1:18" ht="14.4" thickBot="1" x14ac:dyDescent="0.35">
      <c r="B14" s="97" t="s">
        <v>29</v>
      </c>
      <c r="C14" s="98">
        <f ca="1">Dashboard!J4-'Kalkulator troškova'!C13</f>
        <v>21792</v>
      </c>
      <c r="D14" s="52"/>
      <c r="E14" s="85" t="s">
        <v>47</v>
      </c>
    </row>
    <row r="15" spans="1:18" ht="15" thickTop="1" thickBot="1" x14ac:dyDescent="0.35">
      <c r="C15" s="41"/>
      <c r="D15" s="41"/>
    </row>
    <row r="16" spans="1:18" ht="14.4" thickTop="1" x14ac:dyDescent="0.3">
      <c r="B16" s="78" t="s">
        <v>29</v>
      </c>
      <c r="C16" s="75">
        <f ca="1">+C14</f>
        <v>21792</v>
      </c>
      <c r="D16" s="65"/>
      <c r="E16" s="41"/>
    </row>
    <row r="17" spans="2:5" x14ac:dyDescent="0.3">
      <c r="B17" s="79" t="s">
        <v>33</v>
      </c>
      <c r="C17" s="76">
        <f ca="1">+C13</f>
        <v>63208</v>
      </c>
      <c r="D17" s="41"/>
      <c r="E17" s="41"/>
    </row>
    <row r="18" spans="2:5" ht="14.4" thickBot="1" x14ac:dyDescent="0.35">
      <c r="B18" s="80" t="s">
        <v>32</v>
      </c>
      <c r="C18" s="77">
        <f>+Dashboard!J4</f>
        <v>85000</v>
      </c>
      <c r="E18" s="41"/>
    </row>
    <row r="19" spans="2:5" ht="14.4" thickTop="1" x14ac:dyDescent="0.3">
      <c r="B19" s="74"/>
      <c r="C19" s="74"/>
      <c r="E19" s="41"/>
    </row>
    <row r="20" spans="2:5" ht="14.4" thickBot="1" x14ac:dyDescent="0.35">
      <c r="B20" s="74"/>
      <c r="C20" s="74"/>
      <c r="E20" s="41"/>
    </row>
    <row r="21" spans="2:5" ht="15" thickTop="1" thickBot="1" x14ac:dyDescent="0.35">
      <c r="B21" s="82" t="s">
        <v>55</v>
      </c>
      <c r="C21" s="81">
        <f ca="1">+C17/C18</f>
        <v>0.74362352941176468</v>
      </c>
      <c r="E21" s="41"/>
    </row>
    <row r="22" spans="2:5" ht="14.4" thickTop="1" x14ac:dyDescent="0.3">
      <c r="E22" s="41"/>
    </row>
    <row r="23" spans="2:5" x14ac:dyDescent="0.3">
      <c r="E23" s="41"/>
    </row>
    <row r="24" spans="2:5" x14ac:dyDescent="0.3">
      <c r="B24" s="111"/>
      <c r="C24" s="112"/>
      <c r="E24" s="41"/>
    </row>
    <row r="25" spans="2:5" x14ac:dyDescent="0.3">
      <c r="B25" s="113"/>
      <c r="C25" s="113"/>
      <c r="E25" s="41"/>
    </row>
    <row r="26" spans="2:5" x14ac:dyDescent="0.3">
      <c r="E26" s="41"/>
    </row>
    <row r="31" spans="2:5" x14ac:dyDescent="0.3">
      <c r="B31" s="4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Početna</vt:lpstr>
      <vt:lpstr>Baza troškova</vt:lpstr>
      <vt:lpstr>Dashboard</vt:lpstr>
      <vt:lpstr>IzabranaGodina</vt:lpstr>
      <vt:lpstr>IzabraniMesec</vt:lpstr>
      <vt:lpstr>Meseci</vt:lpstr>
      <vt:lpstr>Vrste_troškova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2021-12-20T10:13:31Z</dcterms:created>
  <dcterms:modified xsi:type="dcterms:W3CDTF">2025-02-08T13:18:13Z</dcterms:modified>
</cp:coreProperties>
</file>